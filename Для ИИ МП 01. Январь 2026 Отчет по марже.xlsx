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ет по марже" sheetId="1" r:id="rId4"/>
    <sheet state="visible" name="Отчет по ЗП" sheetId="2" r:id="rId5"/>
    <sheet state="visible" name="Динамика сводка" sheetId="3" r:id="rId6"/>
  </sheets>
  <definedNames>
    <definedName hidden="1" localSheetId="0" name="_xlnm._FilterDatabase">'Отчет по марже'!$A$3:$AI$28</definedName>
    <definedName hidden="1" localSheetId="1" name="_xlnm._FilterDatabase">'Отчет по ЗП'!$A$4:$N$20</definedName>
    <definedName hidden="1" localSheetId="2" name="_xlnm._FilterDatabase">'Динамика сводка'!$A$3:$BJ$70</definedName>
    <definedName hidden="1" localSheetId="2" name="Z_CEB9FAB5_1A43_44C9_8F72_92C47C845DEE_.wvu.FilterData">'Динамика сводка'!$A$3:$AX$35</definedName>
    <definedName hidden="1" localSheetId="2" name="Z_42C63BCA_D603_43A8_ABE1_365B92168223_.wvu.FilterData">'Динамика сводка'!$A$80:$AO$81</definedName>
    <definedName hidden="1" localSheetId="2" name="Z_74704250_96A8_4D53_90EB_89879F34FDD7_.wvu.FilterData">'Динамика сводка'!$A$3:$AO$78</definedName>
  </definedNames>
  <calcPr/>
  <customWorkbookViews>
    <customWorkbookView activeSheetId="0" maximized="1" windowHeight="0" windowWidth="0" guid="{42C63BCA-D603-43A8-ABE1-365B92168223}" name="Фильтр 1"/>
    <customWorkbookView activeSheetId="0" maximized="1" windowHeight="0" windowWidth="0" guid="{74704250-96A8-4D53-90EB-89879F34FDD7}" name="Фильтр 2"/>
    <customWorkbookView activeSheetId="0" maximized="1" windowHeight="0" windowWidth="0" guid="{CEB9FAB5-1A43-44C9-8F72-92C47C845DEE}" name="Фильтр 3"/>
  </customWorkbookViews>
</workbook>
</file>

<file path=xl/sharedStrings.xml><?xml version="1.0" encoding="utf-8"?>
<sst xmlns="http://schemas.openxmlformats.org/spreadsheetml/2006/main" count="1181" uniqueCount="424">
  <si>
    <t>не оплачено</t>
  </si>
  <si>
    <t>д</t>
  </si>
  <si>
    <t>комм</t>
  </si>
  <si>
    <t>Юнит</t>
  </si>
  <si>
    <t>Продукт</t>
  </si>
  <si>
    <t>Проект</t>
  </si>
  <si>
    <t>Площадка</t>
  </si>
  <si>
    <t>Открутка (с НДС)</t>
  </si>
  <si>
    <t>Открутка ( БЕЗ НДС)</t>
  </si>
  <si>
    <t>Комиссия</t>
  </si>
  <si>
    <t>Работы</t>
  </si>
  <si>
    <t>Расходы</t>
  </si>
  <si>
    <t>Маржа</t>
  </si>
  <si>
    <t>Менеджер МП</t>
  </si>
  <si>
    <t xml:space="preserve">Специалист </t>
  </si>
  <si>
    <t>Руководитель напр</t>
  </si>
  <si>
    <t>Руководитель проджект</t>
  </si>
  <si>
    <t>SF</t>
  </si>
  <si>
    <t>Маркетплейсы</t>
  </si>
  <si>
    <t>Лавка мастера</t>
  </si>
  <si>
    <t>Премия KPI</t>
  </si>
  <si>
    <t>ФИО5</t>
  </si>
  <si>
    <t>ФИО1</t>
  </si>
  <si>
    <t>ФИО4</t>
  </si>
  <si>
    <t>Услуги по продвижению на маркетплейсах: Ozon</t>
  </si>
  <si>
    <t>Холодильник.Ру / Шелковый путь</t>
  </si>
  <si>
    <t>Услуги по продвижению на маркетплейсах: Wildberries</t>
  </si>
  <si>
    <t>НЛ</t>
  </si>
  <si>
    <t>ТЕХНОБЕРИНГ</t>
  </si>
  <si>
    <t>ФИО7</t>
  </si>
  <si>
    <t>ФИО6</t>
  </si>
  <si>
    <t>АВ1918</t>
  </si>
  <si>
    <t>ФИО2</t>
  </si>
  <si>
    <t>Услуги по продвижению на маркетплейсах: Яндекс.Маркет</t>
  </si>
  <si>
    <t>Divan.ru (ООО ЛофтМебель)</t>
  </si>
  <si>
    <t>ЗдравСити</t>
  </si>
  <si>
    <t>Импэкс</t>
  </si>
  <si>
    <t>Arua</t>
  </si>
  <si>
    <t>ТЕ</t>
  </si>
  <si>
    <t>Кудри и любовь</t>
  </si>
  <si>
    <t>ИТОГО</t>
  </si>
  <si>
    <t>Аббасова</t>
  </si>
  <si>
    <t>ФИО3</t>
  </si>
  <si>
    <t>Беленков</t>
  </si>
  <si>
    <t>B2basket - сервис размещения рекламы</t>
  </si>
  <si>
    <t xml:space="preserve"> Яндекс.Маркет</t>
  </si>
  <si>
    <t>Яндекс.Карты</t>
  </si>
  <si>
    <t>Яндекс.Маркет проведение рекламной кампании</t>
  </si>
  <si>
    <t xml:space="preserve"> Google Merchant</t>
  </si>
  <si>
    <t>Баннер Яндекс.Метро</t>
  </si>
  <si>
    <t>Настройка сервиса Cloudflare</t>
  </si>
  <si>
    <t>Медийное размещение buzzoola</t>
  </si>
  <si>
    <t>calltouch - инструмент для анализа эффективности рекламы</t>
  </si>
  <si>
    <t>CoMagiс - инструмент для анализа эффективности рекламы</t>
  </si>
  <si>
    <t>UX- рекомендации</t>
  </si>
  <si>
    <t>Размещение рекламной кампании avito.ru (Бюджет)</t>
  </si>
  <si>
    <t>Юзабилити аудит сайта</t>
  </si>
  <si>
    <t>Тех. адаптации Shoppable Ad</t>
  </si>
  <si>
    <r>
      <rPr>
        <rFont val="Calibri"/>
        <color rgb="FF000000"/>
        <sz val="11.0"/>
      </rPr>
      <t xml:space="preserve">Сервис </t>
    </r>
    <r>
      <rPr>
        <rFont val="Calibri"/>
        <color rgb="FF1155CC"/>
        <sz val="11.0"/>
        <u/>
      </rPr>
      <t>sovetnik-off.ru</t>
    </r>
  </si>
  <si>
    <t>Beeline проведение услуги voice target</t>
  </si>
  <si>
    <t>Иконка в рубрике для сети 1/2/3/4/5 место в городе</t>
  </si>
  <si>
    <t>Продвижение на маркетплейсах</t>
  </si>
  <si>
    <t>Аналитические работы по маркетплейсам</t>
  </si>
  <si>
    <t>Telegram Ads бюджет на промотирование (One Spot)</t>
  </si>
  <si>
    <t>Telegram Ads бюджет на промотирование(комиссия)</t>
  </si>
  <si>
    <t>Медийное размещение Циан</t>
  </si>
  <si>
    <t>Telegram Ads бюджет на промотирование (СТРИМ) (без таргетинга)</t>
  </si>
  <si>
    <t>Telegram Ads бюджет на промотирование (СТРИМ) (таргетинг)</t>
  </si>
  <si>
    <t>Telegram Ads бюджет на промотирование (СТРИМ self-service)</t>
  </si>
  <si>
    <t>Работы Циан</t>
  </si>
  <si>
    <t>Размещение медийной кампании Xfocus</t>
  </si>
  <si>
    <t>Размещение на площадке price.ru (бюджет)</t>
  </si>
  <si>
    <t>Динамический ремаркетинг Simb Ad</t>
  </si>
  <si>
    <t>Размещение рекламных материалов 2Gis (Бюджеты)</t>
  </si>
  <si>
    <t>Продвижение Дзен</t>
  </si>
  <si>
    <t>Продвижение на avito.ru</t>
  </si>
  <si>
    <t>Mobildriven бюджет на размещение</t>
  </si>
  <si>
    <t>RedLama бюджет на размещение</t>
  </si>
  <si>
    <t>Баннер при построении маршрута в Яндекс.Навигаторе</t>
  </si>
  <si>
    <t>Работа с блогерами</t>
  </si>
  <si>
    <t>Авито тариф</t>
  </si>
  <si>
    <t>Подготовка статьи</t>
  </si>
  <si>
    <t>Услуги по ASO</t>
  </si>
  <si>
    <t>Скидка за клиента</t>
  </si>
  <si>
    <t>Медийная реклама AdSource</t>
  </si>
  <si>
    <t>ВКонтакте таргетированная реклама(One spot)</t>
  </si>
  <si>
    <t>SEO для маркетплейсов</t>
  </si>
  <si>
    <t>Яндекс.Взгляд</t>
  </si>
  <si>
    <t>Конверсионный анализ</t>
  </si>
  <si>
    <t>My Target таргетированная реклама (One Spot)</t>
  </si>
  <si>
    <t>Составление Медиаплана на три месяца</t>
  </si>
  <si>
    <t>Динамический ремаркетинг МТС</t>
  </si>
  <si>
    <t>Beeline: sms - рассылка</t>
  </si>
  <si>
    <t>Аудит отдела маркетинга</t>
  </si>
  <si>
    <t>Работы по размещению в каналах Telegram</t>
  </si>
  <si>
    <t>Работы по таргетированной рекламе</t>
  </si>
  <si>
    <t>Проведение медийной рекламной кампании Яндекс</t>
  </si>
  <si>
    <t>Видеореклама на Медиасервисах</t>
  </si>
  <si>
    <t>Динамический ремаркетинг Билайн</t>
  </si>
  <si>
    <t>Динамический ремаркетинг Soloway</t>
  </si>
  <si>
    <t>Медийное размещение Soloway</t>
  </si>
  <si>
    <t>Премия KPI (Маркетплейсы)</t>
  </si>
  <si>
    <t>Размещение рекламной кампании ozon.ru (Бюджет)</t>
  </si>
  <si>
    <t>Билборды по маршруту в Геосервисах</t>
  </si>
  <si>
    <t>Брендированные пины по маршруту в Геосервисах</t>
  </si>
  <si>
    <t>Рекомендация маршрута в Яндекс.Навигаторе</t>
  </si>
  <si>
    <t>Контекстная реклама Huawei Ads (услуги)</t>
  </si>
  <si>
    <t>Создание ТЗ на корректировку событий электронной торговли</t>
  </si>
  <si>
    <t>Маркет-платформа ВК(бюджет)</t>
  </si>
  <si>
    <t>Размещение рекламных материалов Яндекс.Директ Медийная реклама</t>
  </si>
  <si>
    <t>Ведение РК Промостраницы</t>
  </si>
  <si>
    <t>Аналитика AdRiver</t>
  </si>
  <si>
    <t>Настройка коннектора Яндекс Метрики и Битрикс24</t>
  </si>
  <si>
    <t>Ведение маркет-платформы ВК</t>
  </si>
  <si>
    <t>Telegram - бюджет на размещение в каналах</t>
  </si>
  <si>
    <t>Реклама в телеграм</t>
  </si>
  <si>
    <t>Предоставление услуг сервиса К50</t>
  </si>
  <si>
    <t>Размещение рекламных материалов Яндекс.Директ Медийная реклама. Видео</t>
  </si>
  <si>
    <t>Видеосъемка</t>
  </si>
  <si>
    <t>Ведение рекламных кампаний в социальных сетях</t>
  </si>
  <si>
    <t>Доступ к Системе Flocktory</t>
  </si>
  <si>
    <t>Коллтрекинг "Манго" бюджет</t>
  </si>
  <si>
    <t>Проект "Кросс-промо"</t>
  </si>
  <si>
    <t>Интернет-маркетолог</t>
  </si>
  <si>
    <t>Работы по сопровождению размещения</t>
  </si>
  <si>
    <t>Размещение рекламной ссылки</t>
  </si>
  <si>
    <t>Проведение пресс-релизов</t>
  </si>
  <si>
    <t>Медийная реклама на ПромоСтраницах</t>
  </si>
  <si>
    <t xml:space="preserve"> Яндекс.Директ контекстная реклама</t>
  </si>
  <si>
    <t xml:space="preserve"> Google.Adwords проведение рекламной кампании</t>
  </si>
  <si>
    <t xml:space="preserve"> Google.Adwords создание рекламной кампании</t>
  </si>
  <si>
    <t xml:space="preserve"> Google.Adwords контекстная реклама</t>
  </si>
  <si>
    <t>Флоктори</t>
  </si>
  <si>
    <t xml:space="preserve"> Яндекс.Директ проведение рекламной кампании</t>
  </si>
  <si>
    <t>Медийно-контекстный баннер Яндекс</t>
  </si>
  <si>
    <t>Медийно-контекстный баннер Яндекс проведение рекламной кампании</t>
  </si>
  <si>
    <t>Размещение медийной кампании Byyd</t>
  </si>
  <si>
    <t>Размещение медийной кампании Hybrid</t>
  </si>
  <si>
    <t>Размещение медийной кампании MediaSniper</t>
  </si>
  <si>
    <t>Размещение медийной кампании Mediatoday</t>
  </si>
  <si>
    <t>Размещение медийной кампании IVI</t>
  </si>
  <si>
    <t>Размещение медийной рекламы Яндекс</t>
  </si>
  <si>
    <t>Продюсирование онлайн-школ</t>
  </si>
  <si>
    <t xml:space="preserve"> Avito контекст</t>
  </si>
  <si>
    <t>Wi-Fi радар</t>
  </si>
  <si>
    <t>Модернизация сайта</t>
  </si>
  <si>
    <t>Создание сайта</t>
  </si>
  <si>
    <t>Создание Landing Page</t>
  </si>
  <si>
    <t>Лицензия Bitrix</t>
  </si>
  <si>
    <t xml:space="preserve"> Правки на сайте</t>
  </si>
  <si>
    <t>Анализ структуры текущего сайта</t>
  </si>
  <si>
    <t>Анализ конкурентов</t>
  </si>
  <si>
    <t>Дизайн баннера</t>
  </si>
  <si>
    <t>Дизайн обложки</t>
  </si>
  <si>
    <t>Предоставление услуг сервиса App Search Ads</t>
  </si>
  <si>
    <t>Предоставление услуг сервиса ASOMobile</t>
  </si>
  <si>
    <t>Предоставление услуг сервиса Strippo</t>
  </si>
  <si>
    <t>Предоставление сервиса Sales Ninja</t>
  </si>
  <si>
    <t>Брендированное размещение на Яндексе</t>
  </si>
  <si>
    <t>Услуги дизайнера</t>
  </si>
  <si>
    <t>Отрисовка баннера</t>
  </si>
  <si>
    <t>Отрисовка</t>
  </si>
  <si>
    <t>Яндекс.Маркет Вендор</t>
  </si>
  <si>
    <t>Поисковая оптимизация сайта</t>
  </si>
  <si>
    <t>Поисковая оптимизация сайта (KPI)</t>
  </si>
  <si>
    <t>Обновление CMS Drupal</t>
  </si>
  <si>
    <t>Создание фида для DomClick</t>
  </si>
  <si>
    <t>Создание креативов</t>
  </si>
  <si>
    <t>Сбор семантического ядра</t>
  </si>
  <si>
    <t>Разработка Title, keywords, description</t>
  </si>
  <si>
    <t>Аудит Email Маркетинг</t>
  </si>
  <si>
    <t>Аудит Аналитики -  Яндекс Метрика и Google Analytics</t>
  </si>
  <si>
    <t>Аудит таргетированная реклама Facebook/Instagram</t>
  </si>
  <si>
    <t>Аудит таргетированная реклама Tik Tok</t>
  </si>
  <si>
    <t>Аудит таргетированная реклама VK</t>
  </si>
  <si>
    <t>Размещение медийной кампании Beeline</t>
  </si>
  <si>
    <t>Аудит сайта</t>
  </si>
  <si>
    <t>Аудит таргетированной рекламы</t>
  </si>
  <si>
    <t>Подготовка технического задания</t>
  </si>
  <si>
    <t>Работы по размещению объявлений</t>
  </si>
  <si>
    <t>Работы по размещению на внешних площадках</t>
  </si>
  <si>
    <t>Услуги по размещению на досках объявлений Sob.ru</t>
  </si>
  <si>
    <t>Услуги по размещению на досках объявлений  Avito.ру</t>
  </si>
  <si>
    <t>Услуга по привлечению клиента</t>
  </si>
  <si>
    <t>Подготовка и ведение рекламной кампании Avito</t>
  </si>
  <si>
    <t>Ведение рекламной кампании Price.ru</t>
  </si>
  <si>
    <t>Услуги по размещению на досках объявлений Квадрум.ру</t>
  </si>
  <si>
    <t xml:space="preserve"> Размещение на Яндекс Недвижимости</t>
  </si>
  <si>
    <t>Консалтинговые услуги</t>
  </si>
  <si>
    <t>Разработка стратегии рекламной кампании</t>
  </si>
  <si>
    <t xml:space="preserve"> Яндекс.Справочник</t>
  </si>
  <si>
    <t xml:space="preserve"> 2Gis</t>
  </si>
  <si>
    <t xml:space="preserve"> Facebook проведение рекламной кампании</t>
  </si>
  <si>
    <t xml:space="preserve"> Facebook таргетированная реклама</t>
  </si>
  <si>
    <t xml:space="preserve"> MyTarget </t>
  </si>
  <si>
    <t xml:space="preserve"> MyTarget проведение рекламной кампании</t>
  </si>
  <si>
    <t>ВКонтакте таргетированная реклама</t>
  </si>
  <si>
    <t>ВКонтакте проведение рекламной кампании</t>
  </si>
  <si>
    <t>Instagram проведение рекламной кампании</t>
  </si>
  <si>
    <t>Таргетированная реклама проведение работ</t>
  </si>
  <si>
    <t>Настройка инструментов аналитики</t>
  </si>
  <si>
    <t>Услуги по созданию рекламных кампаний</t>
  </si>
  <si>
    <t> Настройка CRM</t>
  </si>
  <si>
    <t>Бизнес аналитика</t>
  </si>
  <si>
    <t>Контент-маркетинг</t>
  </si>
  <si>
    <t>ЦИАН проведение рекламной кампании</t>
  </si>
  <si>
    <t>Программинг и верстка</t>
  </si>
  <si>
    <t>Программинг</t>
  </si>
  <si>
    <t>Верстка</t>
  </si>
  <si>
    <t>Настройка автоматической рассылки триггерных писем</t>
  </si>
  <si>
    <t>Настройка постмастеров</t>
  </si>
  <si>
    <t>Проведение аналитики рассылок и подготовка гипотез</t>
  </si>
  <si>
    <t>Разработка Лендинга</t>
  </si>
  <si>
    <t>Ведение Вконтакте и MyTarget</t>
  </si>
  <si>
    <t>Тик Ток бюджет</t>
  </si>
  <si>
    <t>Социальные сети</t>
  </si>
  <si>
    <t>Ведение групп в социальных сетях</t>
  </si>
  <si>
    <t>Техническая поддержка</t>
  </si>
  <si>
    <t>Разработка шаблонных писем</t>
  </si>
  <si>
    <t>Разработка технического задания для сайта</t>
  </si>
  <si>
    <t>Ведение блога и канала Яндекс.Дзен</t>
  </si>
  <si>
    <t>Разработка сайта</t>
  </si>
  <si>
    <t>Оптимизация лендинга мобильного устройства</t>
  </si>
  <si>
    <t>Тегирование звонков</t>
  </si>
  <si>
    <t>Сервис для съема позиций (se-ranking)</t>
  </si>
  <si>
    <t>Relap проведение рекламной кампании</t>
  </si>
  <si>
    <t>Доработка сайта</t>
  </si>
  <si>
    <t>Добавление блока</t>
  </si>
  <si>
    <t>Аудит Яндекс.Маркет</t>
  </si>
  <si>
    <t>Аудит Яндекс.Директ</t>
  </si>
  <si>
    <t>Аудит Google Реклама</t>
  </si>
  <si>
    <t>Аудит Google Merchant</t>
  </si>
  <si>
    <t>Создание брендовой картинки для АВИТО</t>
  </si>
  <si>
    <t>VC.ru работы по размещению рекламы</t>
  </si>
  <si>
    <t>DTF.ru работы по размещению рекламы</t>
  </si>
  <si>
    <t>Теория и практика работы по размещению рекламы</t>
  </si>
  <si>
    <t>TJournal.ru размещение рекламы работы</t>
  </si>
  <si>
    <t>Rusebase проведение рекламной кампании</t>
  </si>
  <si>
    <t>Habr проведение рекламной кампании</t>
  </si>
  <si>
    <t>incrussia.ru проведение рекламной кампании</t>
  </si>
  <si>
    <t>linkedin.com проведение рекламной кампании</t>
  </si>
  <si>
    <t>Flocktory проведение рекламной кампании</t>
  </si>
  <si>
    <t>Criteo работы по сопровождению</t>
  </si>
  <si>
    <t>Getblogger  работы по сопровождению</t>
  </si>
  <si>
    <t>Телеграмм работы по сопровождению</t>
  </si>
  <si>
    <t>Тик Ток работы по сопровождению</t>
  </si>
  <si>
    <t>Работы с прайсовыми площадками</t>
  </si>
  <si>
    <t>Работы по размещению отзывов</t>
  </si>
  <si>
    <t>Аудит репутационной выдачи бренда</t>
  </si>
  <si>
    <t>Выставление счетов</t>
  </si>
  <si>
    <t>SEO-Аудит</t>
  </si>
  <si>
    <t>Яндекс.Дзен</t>
  </si>
  <si>
    <t>SMM</t>
  </si>
  <si>
    <t>Работы по контекстной рекламе</t>
  </si>
  <si>
    <t>Оплата домена</t>
  </si>
  <si>
    <t>Оплата аккаунта Tilda</t>
  </si>
  <si>
    <t>Ретаргетинг на базу email адресов</t>
  </si>
  <si>
    <t>Продление ssl-сертификата</t>
  </si>
  <si>
    <t>Оплата аккаунта Sape</t>
  </si>
  <si>
    <t>Оплата Миралинкс</t>
  </si>
  <si>
    <t>Покупка ссылок</t>
  </si>
  <si>
    <t>Хостинг</t>
  </si>
  <si>
    <t>Предоставление услуг сервиса Alytics</t>
  </si>
  <si>
    <t>Тестирование лендингов</t>
  </si>
  <si>
    <t>Технические работы</t>
  </si>
  <si>
    <t>Написание текста</t>
  </si>
  <si>
    <t>Сбор контента</t>
  </si>
  <si>
    <t>Верстка писем</t>
  </si>
  <si>
    <t>Проведение работ с отделом продаж</t>
  </si>
  <si>
    <t xml:space="preserve">Яндекс.Директ создание рекламной кампании </t>
  </si>
  <si>
    <t>Единоразовая настройка сообщества</t>
  </si>
  <si>
    <t>Размещение посадочной страницы</t>
  </si>
  <si>
    <t>Видеопродакшн</t>
  </si>
  <si>
    <t>Сопровождение размещения в Телеграме</t>
  </si>
  <si>
    <t>Подготовка текста для Телеграм</t>
  </si>
  <si>
    <t>Подготовка текста для видеопрезентации</t>
  </si>
  <si>
    <t>Пакет креативов</t>
  </si>
  <si>
    <t>Отрисовка дизайнером креативов Facebook - ретаргетинг</t>
  </si>
  <si>
    <t>Отрисовка дизайнером креативов MyTarget - ретаргетинг</t>
  </si>
  <si>
    <t>Парсинг hh ru</t>
  </si>
  <si>
    <t>Работы SF</t>
  </si>
  <si>
    <t>Email-маркетинг</t>
  </si>
  <si>
    <t>Составление карты рассылок</t>
  </si>
  <si>
    <t>Маркетинговые исследования</t>
  </si>
  <si>
    <t>Маркетинговое проектирование сайтов</t>
  </si>
  <si>
    <t>Маркетинговые услуги</t>
  </si>
  <si>
    <t>Подготовка рассылки</t>
  </si>
  <si>
    <t>Работа с базой рассылки</t>
  </si>
  <si>
    <t>Разработка маски</t>
  </si>
  <si>
    <t>Изготовление QR-кода</t>
  </si>
  <si>
    <t>Разработка контент-стратегии</t>
  </si>
  <si>
    <t>,</t>
  </si>
  <si>
    <t>ФОРМУЛЫ НЕ МЕНЯТЬ В ТЕМНЫХ ЯЧЕЙКАХ, ЗАПОЛНЯТЬ ТОЛЬКО ЗЕЛЕНЫЕ, АКТИВИТИ % РЕГУЛИРОВАТЬ ЧЕРЕЗ ЛИСТ ОТЧЕТ ПО МАРЖЕ (Дебиторка и пр)</t>
  </si>
  <si>
    <t>Группы</t>
  </si>
  <si>
    <t>ФИО сотрудника</t>
  </si>
  <si>
    <t>фикс:</t>
  </si>
  <si>
    <t>Условия
 %</t>
  </si>
  <si>
    <t>База %</t>
  </si>
  <si>
    <t>активити, %, бонусы</t>
  </si>
  <si>
    <t>Неснижаемый минимум</t>
  </si>
  <si>
    <t>прочие
 доплаты</t>
  </si>
  <si>
    <t>Отпуск / Больничный / Увольнение</t>
  </si>
  <si>
    <t>Итого Начислено</t>
  </si>
  <si>
    <t>выдали 1с</t>
  </si>
  <si>
    <t>Спец (SF)</t>
  </si>
  <si>
    <t>проджект (КА)</t>
  </si>
  <si>
    <t>Спец (НЛ)</t>
  </si>
  <si>
    <t>АД маркет (КА)</t>
  </si>
  <si>
    <t>Проджект (SF)</t>
  </si>
  <si>
    <t>без НЛ</t>
  </si>
  <si>
    <t>Направление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</si>
  <si>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</si>
  <si>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</si>
  <si>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</si>
  <si>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</si>
  <si>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</si>
  <si>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</si>
  <si>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</si>
  <si>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</si>
  <si>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</si>
  <si>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</si>
  <si>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</si>
  <si>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</si>
  <si>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</si>
  <si>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</si>
  <si>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</si>
  <si>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</si>
  <si>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</si>
  <si>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</si>
  <si>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</si>
  <si>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</si>
  <si>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</si>
  <si>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</si>
  <si>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</si>
  <si>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</si>
  <si>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</si>
  <si>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</si>
  <si>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</si>
  <si>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</si>
  <si>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</si>
  <si>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</si>
  <si>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</si>
  <si>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</si>
  <si>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</si>
  <si>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</si>
  <si>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</si>
  <si>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</si>
  <si>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</si>
  <si>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Мес к Мес</t>
  </si>
  <si>
    <t>Полгода к полгода</t>
  </si>
  <si>
    <t>%  месяц</t>
  </si>
  <si>
    <t>% LTV</t>
  </si>
  <si>
    <t>Средний доход</t>
  </si>
  <si>
    <t>Дельта</t>
  </si>
  <si>
    <t>ЖУКОВСКИЙ</t>
  </si>
  <si>
    <t>-</t>
  </si>
  <si>
    <t>Срок жизни</t>
  </si>
  <si>
    <t>Акванет (маркетплейсы)</t>
  </si>
  <si>
    <t>- 7 418</t>
  </si>
  <si>
    <t>Холодильник</t>
  </si>
  <si>
    <t>Первый мебельный</t>
  </si>
  <si>
    <t>SoftSleep</t>
  </si>
  <si>
    <t>techport.ru</t>
  </si>
  <si>
    <t>Son.ru</t>
  </si>
  <si>
    <t>Димакс</t>
  </si>
  <si>
    <t>33 100</t>
  </si>
  <si>
    <t>Моё дело</t>
  </si>
  <si>
    <t>Jump</t>
  </si>
  <si>
    <t>- 503 908</t>
  </si>
  <si>
    <t>Gardenya Home</t>
  </si>
  <si>
    <t>TOPTOP.ru</t>
  </si>
  <si>
    <t>Massi</t>
  </si>
  <si>
    <t>- 48 850</t>
  </si>
  <si>
    <t>Ivideon маркетплейсы</t>
  </si>
  <si>
    <t>Zenden</t>
  </si>
  <si>
    <t>Хлеб и Торты (Черемушки)</t>
  </si>
  <si>
    <t>100 000</t>
  </si>
  <si>
    <t>Haier</t>
  </si>
  <si>
    <t>- 69 210</t>
  </si>
  <si>
    <t>Homfort</t>
  </si>
  <si>
    <t>HomeKitchen</t>
  </si>
  <si>
    <t>Samba</t>
  </si>
  <si>
    <t>BOXY</t>
  </si>
  <si>
    <t>Natura Siberica</t>
  </si>
  <si>
    <t>Soho</t>
  </si>
  <si>
    <t>Сладкая Сказка</t>
  </si>
  <si>
    <t>Клуб мастеров</t>
  </si>
  <si>
    <t>89 703</t>
  </si>
  <si>
    <t>ВИНК</t>
  </si>
  <si>
    <t>Супрэмо</t>
  </si>
  <si>
    <t>Polaris</t>
  </si>
  <si>
    <t>Табурет</t>
  </si>
  <si>
    <t>Ceramica Nova</t>
  </si>
  <si>
    <t>Феликс</t>
  </si>
  <si>
    <t>ANI PLAST</t>
  </si>
  <si>
    <t>спецмазь</t>
  </si>
  <si>
    <t>шустерс</t>
  </si>
  <si>
    <t>ИП СЕМЕНОВА Е.В.</t>
  </si>
  <si>
    <t>ООО АВК</t>
  </si>
  <si>
    <t>Moba Store</t>
  </si>
  <si>
    <t>moba_Озон</t>
  </si>
  <si>
    <t>Дельфанто</t>
  </si>
  <si>
    <t>Макон</t>
  </si>
  <si>
    <t>Первый мебельный (актуальный)</t>
  </si>
  <si>
    <t>Сантехника BAS</t>
  </si>
  <si>
    <t>Вейсфарм</t>
  </si>
  <si>
    <t>Spell</t>
  </si>
  <si>
    <t>Фабрика сна</t>
  </si>
  <si>
    <t>СТОК ТАЙЕРС</t>
  </si>
  <si>
    <t>VARI</t>
  </si>
  <si>
    <t>Moroshka</t>
  </si>
  <si>
    <t>Timo</t>
  </si>
  <si>
    <t>Рули.ру</t>
  </si>
  <si>
    <t>ARUA</t>
  </si>
  <si>
    <t>Лин трейд</t>
  </si>
  <si>
    <t>ИТОГО без агентских</t>
  </si>
  <si>
    <t>Средняя маржа</t>
  </si>
  <si>
    <t>Кол-во проектов</t>
  </si>
  <si>
    <t>ЗП</t>
  </si>
  <si>
    <t>% ФОТ</t>
  </si>
  <si>
    <t>LFL Маржа</t>
  </si>
  <si>
    <t>LFL Маржа %</t>
  </si>
  <si>
    <t>Количество проектов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</si>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</sst>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.00_р_._-;\-* #,##0.00_р_._-;_-* &quot;-&quot;??_р_._-;_-@"/>
    <numFmt numFmtId="165" formatCode="0.0%"/>
    <numFmt numFmtId="166" formatCode="#,##0.00&quot;р.&quot;"/>
    <numFmt numFmtId="167" formatCode="_-* #,##0\ _₽_-;\-* #,##0\ _₽_-;_-* &quot;-&quot;??\ _₽_-;_-@"/>
    <numFmt numFmtId="168" formatCode="[$р.-419]#,##0.00"/>
    <numFmt numFmtId="169" formatCode="_-* #,##0_р_._-;\-* #,##0_р_._-;_-* &quot;-&quot;??_р_._-;_-@"/>
    <numFmt numFmtId="170" formatCode="mmm&quot;-&quot;yy"/>
  </numFmts>
  <fonts count="18">
    <font>
      <sz val="11.0"/>
      <color rgb="FF000000"/>
      <name val="Calibri"/>
    </font>
    <font>
      <b/>
      <sz val="14.0"/>
      <name val="Calibri"/>
    </font>
    <font>
      <sz val="18.0"/>
      <color rgb="FF000000"/>
      <name val="Calibri"/>
    </font>
    <font>
      <b/>
      <sz val="11.0"/>
      <color rgb="FF000000"/>
      <name val="Calibri"/>
    </font>
    <font>
      <sz val="9.0"/>
      <color rgb="FFFF0000"/>
      <name val="Arial"/>
    </font>
    <font/>
    <font>
      <b/>
      <sz val="11.0"/>
      <name val="Calibri"/>
    </font>
    <font>
      <sz val="11.0"/>
      <name val="Calibri"/>
    </font>
    <font>
      <sz val="11.0"/>
      <color rgb="FF000000"/>
      <name val="Inconsolata"/>
    </font>
    <font>
      <sz val="11.0"/>
      <color rgb="FFFF0000"/>
      <name val="Calibri"/>
    </font>
    <font>
      <sz val="10.0"/>
      <color rgb="FF000000"/>
      <name val="Times New Roman"/>
    </font>
    <font>
      <u/>
      <sz val="11.0"/>
      <color rgb="FF000000"/>
      <name val="Calibri"/>
    </font>
    <font>
      <sz val="9.0"/>
      <name val="Arial"/>
    </font>
    <font>
      <sz val="14.0"/>
    </font>
    <font>
      <sz val="13.0"/>
      <color rgb="FFFF0000"/>
    </font>
    <font>
      <name val="Arial"/>
    </font>
    <font>
      <u/>
      <sz val="11.0"/>
      <color rgb="FF1155CC"/>
      <name val="Calibri"/>
    </font>
    <font>
      <u/>
      <sz val="11.0"/>
      <color rgb="FF0000FF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C000"/>
        <bgColor rgb="FFFFC000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F4C7C3"/>
        <bgColor rgb="FFF4C7C3"/>
      </patternFill>
    </fill>
    <fill>
      <patternFill patternType="solid">
        <fgColor rgb="FFC9DAF8"/>
        <bgColor rgb="FFC9DAF8"/>
      </patternFill>
    </fill>
  </fills>
  <borders count="2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4" xfId="0" applyAlignment="1" applyFill="1" applyFont="1" applyNumberFormat="1">
      <alignment readingOrder="0" vertical="center"/>
    </xf>
    <xf borderId="1" fillId="2" fontId="4" numFmtId="4" xfId="0" applyAlignment="1" applyBorder="1" applyFont="1" applyNumberFormat="1">
      <alignment readingOrder="0" vertical="center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0" fontId="3" numFmtId="0" xfId="0" applyFont="1"/>
    <xf borderId="0" fillId="4" fontId="3" numFmtId="0" xfId="0" applyFill="1" applyFont="1"/>
    <xf borderId="0" fillId="3" fontId="3" numFmtId="4" xfId="0" applyFont="1" applyNumberFormat="1"/>
    <xf borderId="0" fillId="0" fontId="3" numFmtId="0" xfId="0" applyAlignment="1" applyFont="1">
      <alignment horizontal="center" readingOrder="0"/>
    </xf>
    <xf borderId="0" fillId="0" fontId="3" numFmtId="9" xfId="0" applyAlignment="1" applyFont="1" applyNumberFormat="1">
      <alignment horizontal="center" readingOrder="0"/>
    </xf>
    <xf borderId="0" fillId="0" fontId="0" numFmtId="0" xfId="0" applyFont="1"/>
    <xf borderId="0" fillId="0" fontId="3" numFmtId="164" xfId="0" applyFont="1" applyNumberFormat="1"/>
    <xf borderId="0" fillId="4" fontId="3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2" fillId="3" fontId="3" numFmtId="0" xfId="0" applyAlignment="1" applyBorder="1" applyFont="1">
      <alignment shrinkToFit="0" wrapText="1"/>
    </xf>
    <xf borderId="2" fillId="3" fontId="3" numFmtId="164" xfId="0" applyAlignment="1" applyBorder="1" applyFont="1" applyNumberFormat="1">
      <alignment shrinkToFit="0" wrapText="1"/>
    </xf>
    <xf borderId="2" fillId="0" fontId="3" numFmtId="0" xfId="0" applyAlignment="1" applyBorder="1" applyFont="1">
      <alignment shrinkToFit="0" wrapText="1"/>
    </xf>
    <xf borderId="2" fillId="4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3" fillId="3" fontId="3" numFmtId="4" xfId="0" applyAlignment="1" applyBorder="1" applyFont="1" applyNumberFormat="1">
      <alignment shrinkToFit="0" wrapText="1"/>
    </xf>
    <xf borderId="2" fillId="0" fontId="6" numFmtId="0" xfId="0" applyAlignment="1" applyBorder="1" applyFont="1">
      <alignment horizontal="center" shrinkToFit="0" vertical="bottom" wrapText="1"/>
    </xf>
    <xf borderId="2" fillId="0" fontId="6" numFmtId="165" xfId="0" applyAlignment="1" applyBorder="1" applyFont="1" applyNumberFormat="1">
      <alignment horizontal="center" readingOrder="0" shrinkToFit="0" vertical="bottom" wrapText="1"/>
    </xf>
    <xf borderId="2" fillId="0" fontId="6" numFmtId="0" xfId="0" applyAlignment="1" applyBorder="1" applyFont="1">
      <alignment horizontal="center" readingOrder="0" shrinkToFit="0" vertical="bottom" wrapText="1"/>
    </xf>
    <xf borderId="2" fillId="0" fontId="6" numFmtId="9" xfId="0" applyAlignment="1" applyBorder="1" applyFont="1" applyNumberFormat="1">
      <alignment horizontal="center" readingOrder="0" shrinkToFit="0" vertical="bottom" wrapText="1"/>
    </xf>
    <xf borderId="2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 shrinkToFit="0" wrapText="1"/>
    </xf>
    <xf borderId="2" fillId="0" fontId="3" numFmtId="9" xfId="0" applyAlignment="1" applyBorder="1" applyFont="1" applyNumberFormat="1">
      <alignment horizontal="center" readingOrder="0" shrinkToFit="0" wrapText="1"/>
    </xf>
    <xf borderId="0" fillId="0" fontId="0" numFmtId="0" xfId="0" applyAlignment="1" applyFont="1">
      <alignment shrinkToFit="0" wrapText="1"/>
    </xf>
    <xf borderId="1" fillId="4" fontId="3" numFmtId="0" xfId="0" applyAlignment="1" applyBorder="1" applyFont="1">
      <alignment vertical="bottom"/>
    </xf>
    <xf borderId="5" fillId="5" fontId="0" numFmtId="0" xfId="0" applyAlignment="1" applyBorder="1" applyFill="1" applyFont="1">
      <alignment readingOrder="0"/>
    </xf>
    <xf borderId="6" fillId="4" fontId="7" numFmtId="0" xfId="0" applyAlignment="1" applyBorder="1" applyFont="1">
      <alignment readingOrder="0" vertical="bottom"/>
    </xf>
    <xf borderId="7" fillId="5" fontId="7" numFmtId="0" xfId="0" applyAlignment="1" applyBorder="1" applyFont="1">
      <alignment readingOrder="0" vertical="bottom"/>
    </xf>
    <xf borderId="8" fillId="5" fontId="7" numFmtId="4" xfId="0" applyAlignment="1" applyBorder="1" applyFont="1" applyNumberFormat="1">
      <alignment vertical="bottom"/>
    </xf>
    <xf borderId="1" fillId="2" fontId="7" numFmtId="4" xfId="0" applyAlignment="1" applyBorder="1" applyFont="1" applyNumberFormat="1">
      <alignment horizontal="right" readingOrder="0" vertical="bottom"/>
    </xf>
    <xf borderId="5" fillId="0" fontId="0" numFmtId="164" xfId="0" applyAlignment="1" applyBorder="1" applyFont="1" applyNumberFormat="1">
      <alignment horizontal="right" vertical="bottom"/>
    </xf>
    <xf borderId="5" fillId="3" fontId="7" numFmtId="9" xfId="0" applyAlignment="1" applyBorder="1" applyFont="1" applyNumberFormat="1">
      <alignment horizontal="center" vertical="bottom"/>
    </xf>
    <xf borderId="5" fillId="0" fontId="7" numFmtId="9" xfId="0" applyAlignment="1" applyBorder="1" applyFont="1" applyNumberFormat="1">
      <alignment readingOrder="0" vertical="bottom"/>
    </xf>
    <xf borderId="5" fillId="0" fontId="7" numFmtId="164" xfId="0" applyAlignment="1" applyBorder="1" applyFont="1" applyNumberFormat="1">
      <alignment horizontal="right" vertical="bottom"/>
    </xf>
    <xf borderId="9" fillId="6" fontId="7" numFmtId="4" xfId="0" applyAlignment="1" applyBorder="1" applyFill="1" applyFont="1" applyNumberFormat="1">
      <alignment vertical="bottom"/>
    </xf>
    <xf borderId="5" fillId="7" fontId="7" numFmtId="4" xfId="0" applyAlignment="1" applyBorder="1" applyFill="1" applyFont="1" applyNumberFormat="1">
      <alignment horizontal="right" vertical="bottom"/>
    </xf>
    <xf borderId="10" fillId="7" fontId="0" numFmtId="0" xfId="0" applyAlignment="1" applyBorder="1" applyFont="1">
      <alignment readingOrder="0" vertical="bottom"/>
    </xf>
    <xf borderId="9" fillId="0" fontId="0" numFmtId="4" xfId="0" applyAlignment="1" applyBorder="1" applyFont="1" applyNumberFormat="1">
      <alignment horizontal="right" vertical="bottom"/>
    </xf>
    <xf borderId="1" fillId="0" fontId="0" numFmtId="4" xfId="0" applyAlignment="1" applyBorder="1" applyFont="1" applyNumberFormat="1">
      <alignment horizontal="right" vertical="bottom"/>
    </xf>
    <xf borderId="10" fillId="0" fontId="0" numFmtId="0" xfId="0" applyAlignment="1" applyBorder="1" applyFont="1">
      <alignment vertical="bottom"/>
    </xf>
    <xf borderId="5" fillId="3" fontId="7" numFmtId="4" xfId="0" applyAlignment="1" applyBorder="1" applyFont="1" applyNumberFormat="1">
      <alignment horizontal="right" readingOrder="0" vertical="bottom"/>
    </xf>
    <xf borderId="1" fillId="3" fontId="0" numFmtId="0" xfId="0" applyAlignment="1" applyBorder="1" applyFont="1">
      <alignment readingOrder="0"/>
    </xf>
    <xf borderId="1" fillId="3" fontId="7" numFmtId="4" xfId="0" applyAlignment="1" applyBorder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3" fontId="8" numFmtId="0" xfId="0" applyFont="1"/>
    <xf borderId="7" fillId="5" fontId="7" numFmtId="0" xfId="0" applyAlignment="1" applyBorder="1" applyFont="1">
      <alignment vertical="bottom"/>
    </xf>
    <xf borderId="1" fillId="5" fontId="7" numFmtId="4" xfId="0" applyAlignment="1" applyBorder="1" applyFont="1" applyNumberFormat="1">
      <alignment horizontal="right" readingOrder="0" vertical="bottom"/>
    </xf>
    <xf borderId="10" fillId="0" fontId="0" numFmtId="0" xfId="0" applyAlignment="1" applyBorder="1" applyFont="1">
      <alignment readingOrder="0" vertical="bottom"/>
    </xf>
    <xf borderId="1" fillId="5" fontId="7" numFmtId="0" xfId="0" applyAlignment="1" applyBorder="1" applyFont="1">
      <alignment vertical="bottom"/>
    </xf>
    <xf borderId="5" fillId="0" fontId="7" numFmtId="166" xfId="0" applyAlignment="1" applyBorder="1" applyFont="1" applyNumberFormat="1">
      <alignment vertical="bottom"/>
    </xf>
    <xf borderId="5" fillId="5" fontId="0" numFmtId="0" xfId="0" applyAlignment="1" applyBorder="1" applyFont="1">
      <alignment vertical="bottom"/>
    </xf>
    <xf borderId="10" fillId="5" fontId="7" numFmtId="4" xfId="0" applyAlignment="1" applyBorder="1" applyFont="1" applyNumberFormat="1">
      <alignment vertical="bottom"/>
    </xf>
    <xf borderId="10" fillId="3" fontId="7" numFmtId="0" xfId="0" applyAlignment="1" applyBorder="1" applyFont="1">
      <alignment vertical="bottom"/>
    </xf>
    <xf borderId="1" fillId="3" fontId="7" numFmtId="4" xfId="0" applyAlignment="1" applyBorder="1" applyFont="1" applyNumberFormat="1">
      <alignment vertical="bottom"/>
    </xf>
    <xf borderId="0" fillId="3" fontId="7" numFmtId="0" xfId="0" applyAlignment="1" applyFont="1">
      <alignment vertical="bottom"/>
    </xf>
    <xf borderId="5" fillId="5" fontId="7" numFmtId="0" xfId="0" applyAlignment="1" applyBorder="1" applyFont="1">
      <alignment vertical="bottom"/>
    </xf>
    <xf borderId="5" fillId="3" fontId="7" numFmtId="9" xfId="0" applyAlignment="1" applyBorder="1" applyFont="1" applyNumberFormat="1">
      <alignment horizontal="center" readingOrder="0" vertical="bottom"/>
    </xf>
    <xf borderId="5" fillId="5" fontId="7" numFmtId="0" xfId="0" applyAlignment="1" applyBorder="1" applyFont="1">
      <alignment readingOrder="0" vertical="bottom"/>
    </xf>
    <xf borderId="10" fillId="7" fontId="0" numFmtId="4" xfId="0" applyAlignment="1" applyBorder="1" applyFont="1" applyNumberFormat="1">
      <alignment readingOrder="0" vertical="bottom"/>
    </xf>
    <xf borderId="1" fillId="4" fontId="3" numFmtId="0" xfId="0" applyAlignment="1" applyBorder="1" applyFont="1">
      <alignment readingOrder="0" vertical="bottom"/>
    </xf>
    <xf borderId="5" fillId="8" fontId="0" numFmtId="164" xfId="0" applyAlignment="1" applyBorder="1" applyFill="1" applyFont="1" applyNumberFormat="1">
      <alignment horizontal="right" vertical="bottom"/>
    </xf>
    <xf borderId="0" fillId="5" fontId="0" numFmtId="0" xfId="0" applyAlignment="1" applyFont="1">
      <alignment readingOrder="0"/>
    </xf>
    <xf borderId="8" fillId="5" fontId="0" numFmtId="0" xfId="0" applyAlignment="1" applyBorder="1" applyFont="1">
      <alignment readingOrder="0" vertical="bottom"/>
    </xf>
    <xf borderId="1" fillId="5" fontId="0" numFmtId="4" xfId="0" applyAlignment="1" applyBorder="1" applyFont="1" applyNumberFormat="1">
      <alignment horizontal="right" readingOrder="0" vertical="bottom"/>
    </xf>
    <xf borderId="5" fillId="7" fontId="0" numFmtId="4" xfId="0" applyAlignment="1" applyBorder="1" applyFont="1" applyNumberFormat="1">
      <alignment horizontal="right" vertical="bottom"/>
    </xf>
    <xf borderId="1" fillId="4" fontId="3" numFmtId="0" xfId="0" applyBorder="1" applyFont="1"/>
    <xf borderId="0" fillId="4" fontId="0" numFmtId="0" xfId="0" applyFont="1"/>
    <xf borderId="11" fillId="4" fontId="3" numFmtId="0" xfId="0" applyBorder="1" applyFont="1"/>
    <xf borderId="12" fillId="4" fontId="3" numFmtId="0" xfId="0" applyBorder="1" applyFont="1"/>
    <xf borderId="13" fillId="0" fontId="3" numFmtId="164" xfId="0" applyBorder="1" applyFont="1" applyNumberFormat="1"/>
    <xf borderId="5" fillId="0" fontId="3" numFmtId="164" xfId="0" applyBorder="1" applyFont="1" applyNumberFormat="1"/>
    <xf borderId="0" fillId="0" fontId="0" numFmtId="164" xfId="0" applyFont="1" applyNumberFormat="1"/>
    <xf borderId="0" fillId="0" fontId="9" numFmtId="0" xfId="0" applyFont="1"/>
    <xf borderId="0" fillId="0" fontId="0" numFmtId="0" xfId="0" applyAlignment="1" applyFont="1">
      <alignment readingOrder="0"/>
    </xf>
    <xf borderId="0" fillId="0" fontId="0" numFmtId="164" xfId="0" applyAlignment="1" applyFont="1" applyNumberFormat="1">
      <alignment readingOrder="0"/>
    </xf>
    <xf borderId="0" fillId="0" fontId="0" numFmtId="4" xfId="0" applyFont="1" applyNumberFormat="1"/>
    <xf borderId="0" fillId="3" fontId="0" numFmtId="4" xfId="0" applyFont="1" applyNumberFormat="1"/>
    <xf borderId="0" fillId="0" fontId="0" numFmtId="10" xfId="0" applyFont="1" applyNumberFormat="1"/>
    <xf borderId="0" fillId="0" fontId="0" numFmtId="167" xfId="0" applyFont="1" applyNumberFormat="1"/>
    <xf borderId="0" fillId="3" fontId="0" numFmtId="4" xfId="0" applyAlignment="1" applyFont="1" applyNumberFormat="1">
      <alignment readingOrder="0"/>
    </xf>
    <xf borderId="0" fillId="0" fontId="0" numFmtId="4" xfId="0" applyAlignment="1" applyFont="1" applyNumberFormat="1">
      <alignment readingOrder="0"/>
    </xf>
    <xf borderId="0" fillId="0" fontId="0" numFmtId="9" xfId="0" applyFont="1" applyNumberFormat="1"/>
    <xf borderId="0" fillId="0" fontId="10" numFmtId="0" xfId="0" applyAlignment="1" applyFont="1">
      <alignment horizontal="left" vertical="center"/>
    </xf>
    <xf borderId="0" fillId="0" fontId="0" numFmtId="9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0" numFmtId="0" xfId="0" applyAlignment="1" applyFont="1">
      <alignment readingOrder="0"/>
    </xf>
    <xf borderId="14" fillId="3" fontId="0" numFmtId="0" xfId="0" applyBorder="1" applyFont="1"/>
    <xf borderId="0" fillId="3" fontId="8" numFmtId="0" xfId="0" applyAlignment="1" applyFont="1">
      <alignment readingOrder="0"/>
    </xf>
    <xf borderId="0" fillId="3" fontId="0" numFmtId="0" xfId="0" applyAlignment="1" applyFont="1">
      <alignment vertical="bottom"/>
    </xf>
    <xf borderId="0" fillId="3" fontId="12" numFmtId="0" xfId="0" applyAlignment="1" applyFont="1">
      <alignment vertical="bottom"/>
    </xf>
    <xf borderId="0" fillId="3" fontId="5" numFmtId="4" xfId="0" applyFont="1" applyNumberFormat="1"/>
    <xf borderId="0" fillId="0" fontId="5" numFmtId="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5" numFmtId="0" xfId="0" applyFont="1"/>
    <xf borderId="0" fillId="0" fontId="13" numFmtId="0" xfId="0" applyAlignment="1" applyFont="1">
      <alignment readingOrder="0"/>
    </xf>
    <xf borderId="6" fillId="9" fontId="0" numFmtId="0" xfId="0" applyAlignment="1" applyBorder="1" applyFill="1" applyFont="1">
      <alignment horizontal="center" shrinkToFit="0" vertical="center" wrapText="1"/>
    </xf>
    <xf borderId="15" fillId="9" fontId="3" numFmtId="0" xfId="0" applyAlignment="1" applyBorder="1" applyFont="1">
      <alignment horizontal="center" shrinkToFit="0" vertical="center" wrapText="1"/>
    </xf>
    <xf borderId="16" fillId="9" fontId="3" numFmtId="0" xfId="0" applyAlignment="1" applyBorder="1" applyFont="1">
      <alignment horizontal="center" readingOrder="0" shrinkToFit="0" vertical="center" wrapText="1"/>
    </xf>
    <xf borderId="17" fillId="9" fontId="3" numFmtId="0" xfId="0" applyAlignment="1" applyBorder="1" applyFont="1">
      <alignment horizontal="center" readingOrder="0" shrinkToFit="0" vertical="center" wrapText="1"/>
    </xf>
    <xf borderId="15" fillId="9" fontId="3" numFmtId="0" xfId="0" applyAlignment="1" applyBorder="1" applyFont="1">
      <alignment horizontal="center" readingOrder="0" shrinkToFit="0" vertical="center" wrapText="1"/>
    </xf>
    <xf borderId="17" fillId="9" fontId="3" numFmtId="0" xfId="0" applyAlignment="1" applyBorder="1" applyFont="1">
      <alignment horizontal="center" shrinkToFit="0" vertical="center" wrapText="1"/>
    </xf>
    <xf borderId="18" fillId="9" fontId="3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6" fillId="0" fontId="7" numFmtId="0" xfId="0" applyAlignment="1" applyBorder="1" applyFont="1">
      <alignment readingOrder="0"/>
    </xf>
    <xf borderId="19" fillId="7" fontId="7" numFmtId="3" xfId="0" applyAlignment="1" applyBorder="1" applyFont="1" applyNumberFormat="1">
      <alignment readingOrder="0"/>
    </xf>
    <xf borderId="5" fillId="10" fontId="7" numFmtId="3" xfId="0" applyBorder="1" applyFill="1" applyFont="1" applyNumberFormat="1"/>
    <xf borderId="20" fillId="10" fontId="7" numFmtId="3" xfId="0" applyBorder="1" applyFont="1" applyNumberFormat="1"/>
    <xf borderId="19" fillId="10" fontId="7" numFmtId="3" xfId="0" applyAlignment="1" applyBorder="1" applyFont="1" applyNumberFormat="1">
      <alignment readingOrder="0"/>
    </xf>
    <xf borderId="5" fillId="10" fontId="7" numFmtId="3" xfId="0" applyAlignment="1" applyBorder="1" applyFont="1" applyNumberFormat="1">
      <alignment readingOrder="0"/>
    </xf>
    <xf borderId="20" fillId="10" fontId="7" numFmtId="3" xfId="0" applyAlignment="1" applyBorder="1" applyFont="1" applyNumberFormat="1">
      <alignment readingOrder="0"/>
    </xf>
    <xf borderId="5" fillId="7" fontId="7" numFmtId="3" xfId="0" applyAlignment="1" applyBorder="1" applyFont="1" applyNumberFormat="1">
      <alignment readingOrder="0"/>
    </xf>
    <xf borderId="20" fillId="7" fontId="7" numFmtId="3" xfId="0" applyAlignment="1" applyBorder="1" applyFont="1" applyNumberFormat="1">
      <alignment readingOrder="0"/>
    </xf>
    <xf borderId="21" fillId="10" fontId="7" numFmtId="3" xfId="0" applyBorder="1" applyFont="1" applyNumberFormat="1"/>
    <xf borderId="9" fillId="7" fontId="7" numFmtId="3" xfId="0" applyAlignment="1" applyBorder="1" applyFont="1" applyNumberFormat="1">
      <alignment readingOrder="0" vertical="bottom"/>
    </xf>
    <xf borderId="0" fillId="3" fontId="6" numFmtId="3" xfId="0" applyFont="1" applyNumberFormat="1"/>
    <xf borderId="19" fillId="11" fontId="7" numFmtId="3" xfId="0" applyBorder="1" applyFill="1" applyFont="1" applyNumberFormat="1"/>
    <xf borderId="6" fillId="0" fontId="7" numFmtId="0" xfId="0" applyAlignment="1" applyBorder="1" applyFont="1">
      <alignment readingOrder="0" vertical="bottom"/>
    </xf>
    <xf borderId="5" fillId="7" fontId="7" numFmtId="9" xfId="0" applyAlignment="1" applyBorder="1" applyFont="1" applyNumberFormat="1">
      <alignment horizontal="right" readingOrder="0"/>
    </xf>
    <xf borderId="20" fillId="7" fontId="7" numFmtId="3" xfId="0" applyAlignment="1" applyBorder="1" applyFont="1" applyNumberFormat="1">
      <alignment horizontal="right" readingOrder="0"/>
    </xf>
    <xf borderId="6" fillId="0" fontId="7" numFmtId="0" xfId="0" applyAlignment="1" applyBorder="1" applyFont="1">
      <alignment vertical="bottom"/>
    </xf>
    <xf borderId="19" fillId="7" fontId="0" numFmtId="3" xfId="0" applyAlignment="1" applyBorder="1" applyFont="1" applyNumberFormat="1">
      <alignment readingOrder="0"/>
    </xf>
    <xf borderId="5" fillId="7" fontId="0" numFmtId="9" xfId="0" applyAlignment="1" applyBorder="1" applyFont="1" applyNumberFormat="1">
      <alignment horizontal="right" readingOrder="0"/>
    </xf>
    <xf borderId="19" fillId="10" fontId="0" numFmtId="3" xfId="0" applyAlignment="1" applyBorder="1" applyFont="1" applyNumberFormat="1">
      <alignment readingOrder="0"/>
    </xf>
    <xf borderId="5" fillId="10" fontId="0" numFmtId="3" xfId="0" applyAlignment="1" applyBorder="1" applyFont="1" applyNumberFormat="1">
      <alignment readingOrder="0"/>
    </xf>
    <xf borderId="20" fillId="10" fontId="0" numFmtId="3" xfId="0" applyAlignment="1" applyBorder="1" applyFont="1" applyNumberFormat="1">
      <alignment readingOrder="0"/>
    </xf>
    <xf borderId="5" fillId="7" fontId="0" numFmtId="3" xfId="0" applyAlignment="1" applyBorder="1" applyFont="1" applyNumberFormat="1">
      <alignment readingOrder="0"/>
    </xf>
    <xf borderId="20" fillId="7" fontId="0" numFmtId="3" xfId="0" applyAlignment="1" applyBorder="1" applyFont="1" applyNumberFormat="1">
      <alignment readingOrder="0"/>
    </xf>
    <xf borderId="0" fillId="3" fontId="3" numFmtId="3" xfId="0" applyFont="1" applyNumberFormat="1"/>
    <xf borderId="22" fillId="0" fontId="3" numFmtId="3" xfId="0" applyBorder="1" applyFont="1" applyNumberFormat="1"/>
    <xf borderId="0" fillId="0" fontId="0" numFmtId="3" xfId="0" applyFont="1" applyNumberFormat="1"/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5" numFmtId="168" xfId="0" applyFont="1" applyNumberFormat="1"/>
    <xf borderId="0" fillId="0" fontId="5" numFmtId="49" xfId="0" applyAlignment="1" applyFont="1" applyNumberFormat="1">
      <alignment readingOrder="0"/>
    </xf>
    <xf borderId="0" fillId="3" fontId="7" numFmtId="0" xfId="0" applyAlignment="1" applyFont="1">
      <alignment vertical="bottom"/>
    </xf>
    <xf borderId="5" fillId="3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3" xfId="0" applyAlignment="1" applyBorder="1" applyFont="1" applyNumberFormat="1">
      <alignment vertical="bottom"/>
    </xf>
    <xf borderId="5" fillId="0" fontId="0" numFmtId="3" xfId="0" applyAlignment="1" applyBorder="1" applyFont="1" applyNumberFormat="1">
      <alignment horizontal="right" vertical="bottom"/>
    </xf>
    <xf borderId="5" fillId="0" fontId="0" numFmtId="3" xfId="0" applyAlignment="1" applyBorder="1" applyFont="1" applyNumberFormat="1">
      <alignment horizontal="center" readingOrder="0" vertical="bottom"/>
    </xf>
    <xf borderId="5" fillId="0" fontId="7" numFmtId="0" xfId="0" applyAlignment="1" applyBorder="1" applyFont="1">
      <alignment horizontal="right" vertical="bottom"/>
    </xf>
    <xf borderId="5" fillId="0" fontId="0" numFmtId="0" xfId="0" applyAlignment="1" applyBorder="1" applyFont="1">
      <alignment horizontal="right" vertical="bottom"/>
    </xf>
    <xf borderId="5" fillId="0" fontId="7" numFmtId="0" xfId="0" applyAlignment="1" applyBorder="1" applyFont="1">
      <alignment vertical="bottom"/>
    </xf>
    <xf borderId="5" fillId="0" fontId="0" numFmtId="0" xfId="0" applyAlignment="1" applyBorder="1" applyFont="1">
      <alignment horizontal="right" vertical="bottom"/>
    </xf>
    <xf borderId="5" fillId="0" fontId="0" numFmtId="0" xfId="0" applyAlignment="1" applyBorder="1" applyFont="1">
      <alignment horizontal="center" readingOrder="0" vertical="bottom"/>
    </xf>
    <xf borderId="0" fillId="0" fontId="7" numFmtId="0" xfId="0" applyAlignment="1" applyFont="1">
      <alignment vertical="bottom"/>
    </xf>
    <xf borderId="5" fillId="3" fontId="3" numFmtId="0" xfId="0" applyAlignment="1" applyBorder="1" applyFont="1">
      <alignment vertical="bottom"/>
    </xf>
    <xf borderId="5" fillId="0" fontId="3" numFmtId="17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readingOrder="0" vertical="bottom"/>
    </xf>
    <xf borderId="5" fillId="0" fontId="6" numFmtId="17" xfId="0" applyAlignment="1" applyBorder="1" applyFont="1" applyNumberForma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3" fontId="7" numFmtId="169" xfId="0" applyAlignment="1" applyBorder="1" applyFont="1" applyNumberFormat="1">
      <alignment vertical="bottom"/>
    </xf>
    <xf borderId="5" fillId="3" fontId="0" numFmtId="169" xfId="0" applyAlignment="1" applyBorder="1" applyFont="1" applyNumberFormat="1">
      <alignment horizontal="center" vertical="bottom"/>
    </xf>
    <xf borderId="5" fillId="3" fontId="0" numFmtId="169" xfId="0" applyAlignment="1" applyBorder="1" applyFont="1" applyNumberFormat="1">
      <alignment vertical="bottom"/>
    </xf>
    <xf borderId="5" fillId="3" fontId="0" numFmtId="169" xfId="0" applyAlignment="1" applyBorder="1" applyFont="1" applyNumberFormat="1">
      <alignment horizontal="right" vertical="bottom"/>
    </xf>
    <xf borderId="5" fillId="3" fontId="0" numFmtId="3" xfId="0" applyAlignment="1" applyBorder="1" applyFont="1" applyNumberFormat="1">
      <alignment horizontal="center" vertical="bottom"/>
    </xf>
    <xf borderId="5" fillId="0" fontId="7" numFmtId="169" xfId="0" applyAlignment="1" applyBorder="1" applyFont="1" applyNumberFormat="1">
      <alignment vertical="bottom"/>
    </xf>
    <xf borderId="1" fillId="6" fontId="15" numFmtId="169" xfId="0" applyAlignment="1" applyBorder="1" applyFont="1" applyNumberFormat="1">
      <alignment vertical="bottom"/>
    </xf>
    <xf borderId="5" fillId="6" fontId="15" numFmtId="169" xfId="0" applyAlignment="1" applyBorder="1" applyFont="1" applyNumberFormat="1">
      <alignment vertical="bottom"/>
    </xf>
    <xf borderId="5" fillId="6" fontId="7" numFmtId="169" xfId="0" applyAlignment="1" applyBorder="1" applyFont="1" applyNumberFormat="1">
      <alignment horizontal="center" vertical="bottom"/>
    </xf>
    <xf borderId="5" fillId="6" fontId="0" numFmtId="169" xfId="0" applyAlignment="1" applyBorder="1" applyFont="1" applyNumberFormat="1">
      <alignment horizontal="center" readingOrder="0" vertical="bottom"/>
    </xf>
    <xf borderId="5" fillId="12" fontId="0" numFmtId="169" xfId="0" applyAlignment="1" applyBorder="1" applyFill="1" applyFont="1" applyNumberFormat="1">
      <alignment horizontal="right" vertical="bottom"/>
    </xf>
    <xf borderId="5" fillId="13" fontId="7" numFmtId="10" xfId="0" applyAlignment="1" applyBorder="1" applyFill="1" applyFont="1" applyNumberFormat="1">
      <alignment horizontal="right" vertical="bottom"/>
    </xf>
    <xf borderId="5" fillId="0" fontId="7" numFmtId="10" xfId="0" applyAlignment="1" applyBorder="1" applyFont="1" applyNumberFormat="1">
      <alignment horizontal="center" vertical="bottom"/>
    </xf>
    <xf borderId="5" fillId="12" fontId="7" numFmtId="169" xfId="0" applyAlignment="1" applyBorder="1" applyFont="1" applyNumberFormat="1">
      <alignment horizontal="right" vertical="bottom"/>
    </xf>
    <xf borderId="5" fillId="0" fontId="7" numFmtId="3" xfId="0" applyAlignment="1" applyBorder="1" applyFont="1" applyNumberFormat="1">
      <alignment horizontal="right" vertical="bottom"/>
    </xf>
    <xf borderId="5" fillId="0" fontId="0" numFmtId="169" xfId="0" applyAlignment="1" applyBorder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4" xfId="0" applyAlignment="1" applyFont="1" applyNumberFormat="1">
      <alignment vertical="bottom"/>
    </xf>
    <xf borderId="5" fillId="14" fontId="7" numFmtId="10" xfId="0" applyAlignment="1" applyBorder="1" applyFill="1" applyFont="1" applyNumberFormat="1">
      <alignment horizontal="right" vertical="bottom"/>
    </xf>
    <xf borderId="5" fillId="0" fontId="7" numFmtId="169" xfId="0" applyAlignment="1" applyBorder="1" applyFont="1" applyNumberFormat="1">
      <alignment horizontal="center" vertical="bottom"/>
    </xf>
    <xf borderId="5" fillId="0" fontId="16" numFmtId="0" xfId="0" applyAlignment="1" applyBorder="1" applyFont="1">
      <alignment vertical="bottom"/>
    </xf>
    <xf borderId="5" fillId="6" fontId="7" numFmtId="169" xfId="0" applyAlignment="1" applyBorder="1" applyFont="1" applyNumberFormat="1">
      <alignment horizontal="right" vertical="bottom"/>
    </xf>
    <xf borderId="5" fillId="0" fontId="17" numFmtId="0" xfId="0" applyAlignment="1" applyBorder="1" applyFont="1">
      <alignment vertical="bottom"/>
    </xf>
    <xf borderId="1" fillId="6" fontId="7" numFmtId="169" xfId="0" applyAlignment="1" applyBorder="1" applyFont="1" applyNumberFormat="1">
      <alignment horizontal="right" vertical="bottom"/>
    </xf>
    <xf borderId="5" fillId="12" fontId="7" numFmtId="10" xfId="0" applyAlignment="1" applyBorder="1" applyFont="1" applyNumberFormat="1">
      <alignment horizontal="right" vertical="bottom"/>
    </xf>
    <xf borderId="5" fillId="0" fontId="7" numFmtId="10" xfId="0" applyAlignment="1" applyBorder="1" applyFont="1" applyNumberFormat="1">
      <alignment vertical="bottom"/>
    </xf>
    <xf borderId="5" fillId="2" fontId="7" numFmtId="169" xfId="0" applyAlignment="1" applyBorder="1" applyFont="1" applyNumberFormat="1">
      <alignment horizontal="center" vertical="bottom"/>
    </xf>
    <xf borderId="5" fillId="15" fontId="0" numFmtId="0" xfId="0" applyAlignment="1" applyBorder="1" applyFill="1" applyFont="1">
      <alignment readingOrder="0" vertical="bottom"/>
    </xf>
    <xf borderId="5" fillId="0" fontId="0" numFmtId="0" xfId="0" applyAlignment="1" applyBorder="1" applyFont="1">
      <alignment readingOrder="0" vertical="bottom"/>
    </xf>
    <xf borderId="5" fillId="0" fontId="0" numFmtId="0" xfId="0" applyAlignment="1" applyBorder="1" applyFont="1">
      <alignment vertical="bottom"/>
    </xf>
    <xf borderId="5" fillId="6" fontId="7" numFmtId="169" xfId="0" applyAlignment="1" applyBorder="1" applyFont="1" applyNumberFormat="1">
      <alignment readingOrder="0" vertical="bottom"/>
    </xf>
    <xf borderId="0" fillId="0" fontId="7" numFmtId="169" xfId="0" applyAlignment="1" applyFont="1" applyNumberFormat="1">
      <alignment vertical="bottom"/>
    </xf>
    <xf borderId="0" fillId="0" fontId="6" numFmtId="169" xfId="0" applyAlignment="1" applyFont="1" applyNumberFormat="1">
      <alignment horizontal="right" vertical="bottom"/>
    </xf>
    <xf borderId="0" fillId="0" fontId="6" numFmtId="3" xfId="0" applyAlignment="1" applyFont="1" applyNumberFormat="1">
      <alignment horizontal="right" vertical="bottom"/>
    </xf>
    <xf borderId="5" fillId="0" fontId="6" numFmtId="169" xfId="0" applyAlignment="1" applyBorder="1" applyFont="1" applyNumberFormat="1">
      <alignment horizontal="center" vertical="bottom"/>
    </xf>
    <xf borderId="5" fillId="0" fontId="6" numFmtId="169" xfId="0" applyAlignment="1" applyBorder="1" applyFont="1" applyNumberFormat="1">
      <alignment horizontal="center" readingOrder="0" vertical="bottom"/>
    </xf>
    <xf borderId="5" fillId="0" fontId="3" numFmtId="169" xfId="0" applyAlignment="1" applyBorder="1" applyFont="1" applyNumberFormat="1">
      <alignment horizontal="right" vertical="bottom"/>
    </xf>
    <xf borderId="0" fillId="0" fontId="7" numFmtId="10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0" fontId="7" numFmtId="3" xfId="0" applyAlignment="1" applyFont="1" applyNumberFormat="1">
      <alignment horizontal="center" readingOrder="0" vertical="bottom"/>
    </xf>
    <xf borderId="5" fillId="0" fontId="7" numFmtId="3" xfId="0" applyAlignment="1" applyBorder="1" applyFont="1" applyNumberFormat="1">
      <alignment horizontal="center" readingOrder="0" vertical="bottom"/>
    </xf>
    <xf borderId="5" fillId="0" fontId="7" numFmtId="3" xfId="0" applyAlignment="1" applyBorder="1" applyFont="1" applyNumberFormat="1">
      <alignment horizontal="center" vertical="bottom"/>
    </xf>
    <xf borderId="0" fillId="0" fontId="7" numFmtId="3" xfId="0" applyAlignment="1" applyFont="1" applyNumberFormat="1">
      <alignment vertical="bottom"/>
    </xf>
    <xf borderId="0" fillId="3" fontId="7" numFmtId="0" xfId="0" applyAlignment="1" applyFont="1">
      <alignment readingOrder="0" vertical="bottom"/>
    </xf>
    <xf borderId="0" fillId="0" fontId="3" numFmtId="10" xfId="0" applyAlignment="1" applyFont="1" applyNumberFormat="1">
      <alignment horizontal="right" vertical="bottom"/>
    </xf>
    <xf borderId="0" fillId="0" fontId="7" numFmtId="3" xfId="0" applyAlignment="1" applyFont="1" applyNumberFormat="1">
      <alignment readingOrder="0" vertical="bottom"/>
    </xf>
    <xf borderId="0" fillId="0" fontId="3" numFmtId="0" xfId="0" applyAlignment="1" applyFont="1">
      <alignment horizontal="right" vertical="bottom"/>
    </xf>
    <xf borderId="0" fillId="0" fontId="0" numFmtId="3" xfId="0" applyAlignment="1" applyFont="1" applyNumberFormat="1">
      <alignment horizontal="right" vertical="bottom"/>
    </xf>
    <xf borderId="0" fillId="0" fontId="0" numFmtId="3" xfId="0" applyAlignment="1" applyFont="1" applyNumberFormat="1">
      <alignment horizontal="center" readingOrder="0" vertical="bottom"/>
    </xf>
    <xf borderId="0" fillId="0" fontId="7" numFmtId="17" xfId="0" applyAlignment="1" applyFont="1" applyNumberFormat="1">
      <alignment vertical="bottom"/>
    </xf>
    <xf borderId="5" fillId="3" fontId="7" numFmtId="169" xfId="0" applyAlignment="1" applyBorder="1" applyFont="1" applyNumberFormat="1">
      <alignment readingOrder="0" vertical="bottom"/>
    </xf>
    <xf borderId="0" fillId="7" fontId="7" numFmtId="3" xfId="0" applyAlignment="1" applyFont="1" applyNumberFormat="1">
      <alignment horizontal="center" readingOrder="0" vertical="bottom"/>
    </xf>
    <xf borderId="0" fillId="0" fontId="3" numFmtId="0" xfId="0" applyAlignment="1" applyFont="1">
      <alignment vertical="bottom"/>
    </xf>
    <xf borderId="0" fillId="3" fontId="7" numFmtId="17" xfId="0" applyAlignment="1" applyFont="1" applyNumberFormat="1">
      <alignment vertical="bottom"/>
    </xf>
    <xf borderId="0" fillId="7" fontId="0" numFmtId="3" xfId="0" applyAlignment="1" applyFont="1" applyNumberFormat="1">
      <alignment horizontal="center" readingOrder="0" vertical="bottom"/>
    </xf>
    <xf borderId="0" fillId="7" fontId="3" numFmtId="10" xfId="0" applyAlignment="1" applyFont="1" applyNumberFormat="1">
      <alignment horizontal="center" readingOrder="0" vertical="bottom"/>
    </xf>
    <xf borderId="5" fillId="0" fontId="3" numFmtId="0" xfId="0" applyAlignment="1" applyBorder="1" applyFont="1">
      <alignment vertical="bottom"/>
    </xf>
    <xf borderId="5" fillId="3" fontId="7" numFmtId="17" xfId="0" applyAlignment="1" applyBorder="1" applyFont="1" applyNumberFormat="1">
      <alignment vertical="bottom"/>
    </xf>
    <xf borderId="5" fillId="0" fontId="7" numFmtId="17" xfId="0" applyAlignment="1" applyBorder="1" applyFont="1" applyNumberFormat="1">
      <alignment vertical="bottom"/>
    </xf>
    <xf borderId="5" fillId="0" fontId="7" numFmtId="170" xfId="0" applyAlignment="1" applyBorder="1" applyFont="1" applyNumberForma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10" xfId="0" applyAlignment="1" applyBorder="1" applyFont="1" applyNumberFormat="1">
      <alignment horizontal="right" vertical="bottom"/>
    </xf>
    <xf borderId="5" fillId="0" fontId="3" numFmtId="169" xfId="0" applyAlignment="1" applyBorder="1" applyFont="1" applyNumberFormat="1">
      <alignment horizontal="center" readingOrder="0" vertical="bottom"/>
    </xf>
    <xf borderId="5" fillId="0" fontId="3" numFmtId="10" xfId="0" applyAlignment="1" applyBorder="1" applyFont="1" applyNumberFormat="1">
      <alignment horizontal="center" readingOrder="0" vertical="bottom"/>
    </xf>
    <xf borderId="5" fillId="0" fontId="7" numFmtId="4" xfId="0" applyAlignment="1" applyBorder="1" applyFont="1" applyNumberFormat="1">
      <alignment vertical="bottom"/>
    </xf>
    <xf borderId="5" fillId="0" fontId="7" numFmtId="17" xfId="0" applyAlignment="1" applyBorder="1" applyFont="1" applyNumberFormat="1">
      <alignment horizontal="center" vertical="bottom"/>
    </xf>
    <xf borderId="5" fillId="0" fontId="6" numFmtId="10" xfId="0" applyAlignment="1" applyBorder="1" applyFont="1" applyNumberForma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ovetnik-off.ru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echport.ru" TargetMode="External"/><Relationship Id="rId2" Type="http://schemas.openxmlformats.org/officeDocument/2006/relationships/hyperlink" Target="http://son.ru" TargetMode="External"/><Relationship Id="rId3" Type="http://schemas.openxmlformats.org/officeDocument/2006/relationships/hyperlink" Target="http://toptop.ru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12.57"/>
    <col customWidth="1" min="2" max="2" width="18.14"/>
    <col customWidth="1" min="3" max="3" width="19.57"/>
    <col customWidth="1" min="4" max="4" width="16.29"/>
    <col customWidth="1" min="5" max="5" width="55.57"/>
    <col customWidth="1" hidden="1" min="6" max="6" width="17.29"/>
    <col customWidth="1" min="7" max="7" width="15.14"/>
    <col customWidth="1" min="8" max="8" width="15.71"/>
    <col customWidth="1" min="9" max="9" width="11.14"/>
    <col customWidth="1" min="10" max="10" width="13.71"/>
    <col customWidth="1" min="11" max="11" width="14.14"/>
    <col customWidth="1" min="12" max="12" width="13.0"/>
    <col customWidth="1" min="13" max="13" width="15.0"/>
    <col customWidth="1" min="14" max="14" width="13.86"/>
    <col customWidth="1" min="15" max="15" width="12.43"/>
    <col customWidth="1" min="16" max="16" width="15.43"/>
    <col customWidth="1" min="17" max="17" width="12.43"/>
    <col customWidth="1" min="18" max="18" width="15.29"/>
    <col customWidth="1" min="19" max="19" width="16.57"/>
    <col customWidth="1" min="20" max="20" width="11.0"/>
    <col customWidth="1" min="21" max="21" width="15.57"/>
    <col customWidth="1" min="22" max="22" width="10.71"/>
    <col customWidth="1" min="23" max="32" width="8.86"/>
    <col customWidth="1" min="33" max="33" width="23.43"/>
    <col customWidth="1" min="34" max="35" width="8.86"/>
  </cols>
  <sheetData>
    <row r="1">
      <c r="A1" s="1"/>
      <c r="B1" s="2"/>
      <c r="C1" s="2"/>
      <c r="E1" s="3"/>
      <c r="F1" s="4"/>
      <c r="G1" s="5" t="s">
        <v>0</v>
      </c>
      <c r="H1" s="6" t="s">
        <v>1</v>
      </c>
      <c r="I1" s="7"/>
      <c r="J1" s="8"/>
      <c r="K1" s="9"/>
      <c r="L1" s="8"/>
      <c r="M1" s="10"/>
      <c r="N1" s="11"/>
      <c r="O1" s="12"/>
      <c r="P1" s="11"/>
      <c r="Q1" s="12"/>
      <c r="R1" s="11"/>
      <c r="S1" s="12"/>
      <c r="T1" s="11"/>
      <c r="U1" s="11"/>
      <c r="V1" s="12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>
      <c r="A2" s="8"/>
      <c r="B2" s="13"/>
      <c r="C2" s="13"/>
      <c r="E2" s="7"/>
      <c r="F2" s="14"/>
      <c r="G2" s="14"/>
      <c r="H2" s="7"/>
      <c r="I2" s="7"/>
      <c r="J2" s="3"/>
      <c r="K2" s="15"/>
      <c r="L2" s="8"/>
      <c r="M2" s="10"/>
      <c r="N2" s="11"/>
      <c r="O2" s="12"/>
      <c r="P2" s="11"/>
      <c r="Q2" s="12"/>
      <c r="R2" s="11"/>
      <c r="S2" s="12"/>
      <c r="T2" s="11"/>
      <c r="U2" s="11"/>
      <c r="V2" s="12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>
      <c r="A3" s="16" t="s">
        <v>2</v>
      </c>
      <c r="B3" s="16" t="s">
        <v>3</v>
      </c>
      <c r="C3" s="16" t="s">
        <v>4</v>
      </c>
      <c r="D3" s="16" t="s">
        <v>5</v>
      </c>
      <c r="E3" s="17" t="s">
        <v>6</v>
      </c>
      <c r="F3" s="18"/>
      <c r="G3" s="18" t="s">
        <v>7</v>
      </c>
      <c r="H3" s="17" t="s">
        <v>8</v>
      </c>
      <c r="I3" s="17"/>
      <c r="J3" s="19" t="s">
        <v>9</v>
      </c>
      <c r="K3" s="20" t="s">
        <v>10</v>
      </c>
      <c r="L3" s="21" t="s">
        <v>11</v>
      </c>
      <c r="M3" s="22" t="s">
        <v>12</v>
      </c>
      <c r="N3" s="23" t="s">
        <v>13</v>
      </c>
      <c r="O3" s="24"/>
      <c r="P3" s="25" t="s">
        <v>14</v>
      </c>
      <c r="Q3" s="26"/>
      <c r="R3" s="27" t="s">
        <v>15</v>
      </c>
      <c r="S3" s="28" t="s">
        <v>16</v>
      </c>
      <c r="T3" s="28"/>
      <c r="U3" s="28"/>
      <c r="V3" s="29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</row>
    <row r="4">
      <c r="A4" s="31" t="s">
        <v>17</v>
      </c>
      <c r="B4" s="32" t="s">
        <v>18</v>
      </c>
      <c r="C4" s="32" t="s">
        <v>18</v>
      </c>
      <c r="D4" s="33" t="s">
        <v>19</v>
      </c>
      <c r="E4" s="34" t="s">
        <v>20</v>
      </c>
      <c r="F4" s="35"/>
      <c r="G4" s="36">
        <v>66202.86</v>
      </c>
      <c r="H4" s="37">
        <f t="shared" ref="H4:H23" si="1">G4/1.22</f>
        <v>54264.63934</v>
      </c>
      <c r="I4" s="38">
        <v>1.0</v>
      </c>
      <c r="J4" s="39"/>
      <c r="K4" s="40">
        <f t="shared" ref="K4:K25" si="2">ROUND(H4*I4,2)</f>
        <v>54264.64</v>
      </c>
      <c r="L4" s="41"/>
      <c r="M4" s="42">
        <f t="shared" ref="M4:M25" si="3">J4+K4-L4</f>
        <v>54264.64</v>
      </c>
      <c r="N4" s="43" t="s">
        <v>21</v>
      </c>
      <c r="O4" s="44">
        <f t="shared" ref="O4:O25" si="4">M4*8%</f>
        <v>4341.1712</v>
      </c>
      <c r="P4" s="43" t="s">
        <v>22</v>
      </c>
      <c r="Q4" s="45">
        <f t="shared" ref="Q4:Q25" si="5">M4*4%</f>
        <v>2170.5856</v>
      </c>
      <c r="R4" s="46"/>
      <c r="S4" s="47" t="s">
        <v>23</v>
      </c>
      <c r="T4" s="48"/>
      <c r="U4" s="48"/>
      <c r="V4" s="49"/>
      <c r="W4" s="50"/>
      <c r="X4" s="50"/>
      <c r="Y4" s="51"/>
      <c r="Z4" s="50"/>
      <c r="AA4" s="50"/>
      <c r="AB4" s="50"/>
      <c r="AC4" s="50"/>
      <c r="AD4" s="50"/>
      <c r="AE4" s="50"/>
      <c r="AF4" s="50"/>
      <c r="AG4" s="13"/>
      <c r="AH4" s="50"/>
      <c r="AI4" s="50"/>
    </row>
    <row r="5">
      <c r="A5" s="31" t="s">
        <v>17</v>
      </c>
      <c r="B5" s="32" t="s">
        <v>18</v>
      </c>
      <c r="C5" s="32" t="s">
        <v>18</v>
      </c>
      <c r="D5" s="33" t="s">
        <v>19</v>
      </c>
      <c r="E5" s="52" t="s">
        <v>24</v>
      </c>
      <c r="F5" s="35"/>
      <c r="G5" s="53">
        <v>103700.0</v>
      </c>
      <c r="H5" s="37">
        <f t="shared" si="1"/>
        <v>85000</v>
      </c>
      <c r="I5" s="38">
        <v>1.0</v>
      </c>
      <c r="J5" s="39"/>
      <c r="K5" s="40">
        <f t="shared" si="2"/>
        <v>85000</v>
      </c>
      <c r="L5" s="41"/>
      <c r="M5" s="42">
        <f t="shared" si="3"/>
        <v>85000</v>
      </c>
      <c r="N5" s="43" t="s">
        <v>21</v>
      </c>
      <c r="O5" s="44">
        <f t="shared" si="4"/>
        <v>6800</v>
      </c>
      <c r="P5" s="43" t="s">
        <v>22</v>
      </c>
      <c r="Q5" s="45">
        <f t="shared" si="5"/>
        <v>3400</v>
      </c>
      <c r="R5" s="54"/>
      <c r="S5" s="47" t="s">
        <v>23</v>
      </c>
      <c r="T5" s="48"/>
      <c r="U5" s="48"/>
      <c r="V5" s="49"/>
      <c r="W5" s="50"/>
      <c r="X5" s="50"/>
      <c r="Y5" s="51"/>
      <c r="Z5" s="50"/>
      <c r="AA5" s="50"/>
      <c r="AB5" s="50"/>
      <c r="AC5" s="50"/>
      <c r="AD5" s="50"/>
      <c r="AE5" s="50"/>
      <c r="AF5" s="50"/>
      <c r="AG5" s="13"/>
      <c r="AH5" s="50"/>
      <c r="AI5" s="50"/>
    </row>
    <row r="6">
      <c r="A6" s="31" t="s">
        <v>17</v>
      </c>
      <c r="B6" s="32" t="s">
        <v>18</v>
      </c>
      <c r="C6" s="32" t="s">
        <v>18</v>
      </c>
      <c r="D6" s="33" t="s">
        <v>25</v>
      </c>
      <c r="E6" s="55" t="s">
        <v>26</v>
      </c>
      <c r="F6" s="35"/>
      <c r="G6" s="53">
        <v>360000.0</v>
      </c>
      <c r="H6" s="37">
        <f t="shared" si="1"/>
        <v>295081.9672</v>
      </c>
      <c r="I6" s="38">
        <v>1.0</v>
      </c>
      <c r="J6" s="56"/>
      <c r="K6" s="40">
        <f t="shared" si="2"/>
        <v>295081.97</v>
      </c>
      <c r="L6" s="41"/>
      <c r="M6" s="42">
        <f t="shared" si="3"/>
        <v>295081.97</v>
      </c>
      <c r="N6" s="43" t="s">
        <v>21</v>
      </c>
      <c r="O6" s="44">
        <f t="shared" si="4"/>
        <v>23606.5576</v>
      </c>
      <c r="P6" s="43" t="s">
        <v>22</v>
      </c>
      <c r="Q6" s="45">
        <f t="shared" si="5"/>
        <v>11803.2788</v>
      </c>
      <c r="R6" s="54"/>
      <c r="S6" s="47" t="s">
        <v>23</v>
      </c>
      <c r="T6" s="48"/>
      <c r="U6" s="48"/>
      <c r="V6" s="49"/>
      <c r="W6" s="50"/>
      <c r="X6" s="50"/>
      <c r="Y6" s="51"/>
      <c r="Z6" s="50"/>
      <c r="AA6" s="50"/>
      <c r="AB6" s="50"/>
      <c r="AC6" s="50"/>
      <c r="AD6" s="50"/>
      <c r="AE6" s="50"/>
      <c r="AF6" s="50"/>
      <c r="AG6" s="13"/>
      <c r="AH6" s="50"/>
      <c r="AI6" s="50"/>
    </row>
    <row r="7">
      <c r="A7" s="31" t="s">
        <v>17</v>
      </c>
      <c r="B7" s="32" t="s">
        <v>18</v>
      </c>
      <c r="C7" s="32" t="s">
        <v>18</v>
      </c>
      <c r="D7" s="33" t="s">
        <v>25</v>
      </c>
      <c r="E7" s="55" t="s">
        <v>26</v>
      </c>
      <c r="F7" s="35"/>
      <c r="G7" s="36">
        <v>6000.0</v>
      </c>
      <c r="H7" s="37">
        <f t="shared" si="1"/>
        <v>4918.032787</v>
      </c>
      <c r="I7" s="38">
        <v>1.0</v>
      </c>
      <c r="J7" s="56"/>
      <c r="K7" s="40">
        <f t="shared" si="2"/>
        <v>4918.03</v>
      </c>
      <c r="L7" s="41"/>
      <c r="M7" s="42">
        <f t="shared" si="3"/>
        <v>4918.03</v>
      </c>
      <c r="N7" s="43" t="s">
        <v>21</v>
      </c>
      <c r="O7" s="44">
        <f t="shared" si="4"/>
        <v>393.4424</v>
      </c>
      <c r="P7" s="43" t="s">
        <v>22</v>
      </c>
      <c r="Q7" s="45">
        <f t="shared" si="5"/>
        <v>196.7212</v>
      </c>
      <c r="R7" s="54"/>
      <c r="S7" s="47" t="s">
        <v>23</v>
      </c>
      <c r="T7" s="48"/>
      <c r="U7" s="48"/>
      <c r="V7" s="49"/>
      <c r="W7" s="50"/>
      <c r="X7" s="50"/>
      <c r="Y7" s="51"/>
      <c r="Z7" s="50"/>
      <c r="AA7" s="50"/>
      <c r="AB7" s="50"/>
      <c r="AC7" s="50"/>
      <c r="AD7" s="50"/>
      <c r="AE7" s="50"/>
      <c r="AF7" s="50"/>
      <c r="AG7" s="13"/>
      <c r="AH7" s="50"/>
      <c r="AI7" s="50"/>
    </row>
    <row r="8">
      <c r="A8" s="31" t="s">
        <v>27</v>
      </c>
      <c r="B8" s="57" t="s">
        <v>18</v>
      </c>
      <c r="C8" s="57" t="s">
        <v>18</v>
      </c>
      <c r="D8" s="33" t="s">
        <v>28</v>
      </c>
      <c r="E8" s="52" t="s">
        <v>24</v>
      </c>
      <c r="F8" s="58"/>
      <c r="G8" s="53">
        <v>67100.0</v>
      </c>
      <c r="H8" s="37">
        <f t="shared" si="1"/>
        <v>55000</v>
      </c>
      <c r="I8" s="38">
        <v>1.0</v>
      </c>
      <c r="J8" s="39"/>
      <c r="K8" s="40">
        <f t="shared" si="2"/>
        <v>55000</v>
      </c>
      <c r="L8" s="41"/>
      <c r="M8" s="42">
        <f t="shared" si="3"/>
        <v>55000</v>
      </c>
      <c r="N8" s="43" t="s">
        <v>29</v>
      </c>
      <c r="O8" s="44">
        <f t="shared" si="4"/>
        <v>4400</v>
      </c>
      <c r="P8" s="43" t="s">
        <v>30</v>
      </c>
      <c r="Q8" s="45">
        <f t="shared" si="5"/>
        <v>2200</v>
      </c>
      <c r="R8" s="46"/>
      <c r="S8" s="47" t="s">
        <v>23</v>
      </c>
      <c r="T8" s="59"/>
      <c r="U8" s="59"/>
      <c r="V8" s="60"/>
      <c r="W8" s="50"/>
      <c r="X8" s="50"/>
      <c r="Y8" s="61"/>
      <c r="Z8" s="50"/>
      <c r="AA8" s="50"/>
      <c r="AB8" s="50"/>
      <c r="AC8" s="50"/>
      <c r="AD8" s="50"/>
      <c r="AE8" s="50"/>
      <c r="AF8" s="50"/>
      <c r="AG8" s="50"/>
      <c r="AH8" s="50"/>
      <c r="AI8" s="50"/>
    </row>
    <row r="9">
      <c r="A9" s="31" t="s">
        <v>27</v>
      </c>
      <c r="B9" s="57" t="s">
        <v>18</v>
      </c>
      <c r="C9" s="57" t="s">
        <v>18</v>
      </c>
      <c r="D9" s="33" t="s">
        <v>28</v>
      </c>
      <c r="E9" s="52" t="s">
        <v>20</v>
      </c>
      <c r="F9" s="58"/>
      <c r="G9" s="53">
        <v>71638.32</v>
      </c>
      <c r="H9" s="37">
        <f t="shared" si="1"/>
        <v>58719.93443</v>
      </c>
      <c r="I9" s="38">
        <v>1.0</v>
      </c>
      <c r="J9" s="39"/>
      <c r="K9" s="40">
        <f t="shared" si="2"/>
        <v>58719.93</v>
      </c>
      <c r="L9" s="41"/>
      <c r="M9" s="42">
        <f t="shared" si="3"/>
        <v>58719.93</v>
      </c>
      <c r="N9" s="43" t="s">
        <v>29</v>
      </c>
      <c r="O9" s="44">
        <f t="shared" si="4"/>
        <v>4697.5944</v>
      </c>
      <c r="P9" s="43" t="s">
        <v>30</v>
      </c>
      <c r="Q9" s="45">
        <f t="shared" si="5"/>
        <v>2348.7972</v>
      </c>
      <c r="R9" s="46"/>
      <c r="S9" s="47" t="s">
        <v>23</v>
      </c>
      <c r="T9" s="59"/>
      <c r="U9" s="59"/>
      <c r="V9" s="60"/>
      <c r="W9" s="50"/>
      <c r="X9" s="50"/>
      <c r="Y9" s="61"/>
      <c r="Z9" s="50"/>
      <c r="AA9" s="50"/>
      <c r="AB9" s="50"/>
      <c r="AC9" s="50"/>
      <c r="AD9" s="50"/>
      <c r="AE9" s="50"/>
      <c r="AF9" s="50"/>
      <c r="AG9" s="50"/>
      <c r="AH9" s="50"/>
      <c r="AI9" s="50"/>
    </row>
    <row r="10">
      <c r="A10" s="31" t="s">
        <v>27</v>
      </c>
      <c r="B10" s="32" t="s">
        <v>18</v>
      </c>
      <c r="C10" s="32" t="s">
        <v>18</v>
      </c>
      <c r="D10" s="33" t="s">
        <v>31</v>
      </c>
      <c r="E10" s="52" t="s">
        <v>24</v>
      </c>
      <c r="F10" s="35"/>
      <c r="G10" s="53">
        <v>102000.0</v>
      </c>
      <c r="H10" s="37">
        <f t="shared" si="1"/>
        <v>83606.55738</v>
      </c>
      <c r="I10" s="38">
        <v>1.0</v>
      </c>
      <c r="J10" s="56"/>
      <c r="K10" s="40">
        <f t="shared" si="2"/>
        <v>83606.56</v>
      </c>
      <c r="L10" s="41"/>
      <c r="M10" s="42">
        <f t="shared" si="3"/>
        <v>83606.56</v>
      </c>
      <c r="N10" s="43" t="s">
        <v>32</v>
      </c>
      <c r="O10" s="44">
        <f t="shared" si="4"/>
        <v>6688.5248</v>
      </c>
      <c r="P10" s="43" t="s">
        <v>32</v>
      </c>
      <c r="Q10" s="45">
        <f t="shared" si="5"/>
        <v>3344.2624</v>
      </c>
      <c r="R10" s="54"/>
      <c r="S10" s="47" t="s">
        <v>23</v>
      </c>
      <c r="T10" s="48"/>
      <c r="U10" s="48"/>
      <c r="V10" s="49"/>
      <c r="W10" s="50"/>
      <c r="X10" s="50"/>
      <c r="Y10" s="51"/>
      <c r="Z10" s="50"/>
      <c r="AA10" s="50"/>
      <c r="AB10" s="50"/>
      <c r="AC10" s="50"/>
      <c r="AD10" s="50"/>
      <c r="AE10" s="50"/>
      <c r="AF10" s="50"/>
      <c r="AG10" s="13"/>
      <c r="AH10" s="50"/>
      <c r="AI10" s="50"/>
    </row>
    <row r="11">
      <c r="A11" s="31" t="s">
        <v>27</v>
      </c>
      <c r="B11" s="32" t="s">
        <v>18</v>
      </c>
      <c r="C11" s="32" t="s">
        <v>18</v>
      </c>
      <c r="D11" s="33" t="s">
        <v>31</v>
      </c>
      <c r="E11" s="52" t="s">
        <v>24</v>
      </c>
      <c r="F11" s="35"/>
      <c r="G11" s="36">
        <v>1700.0</v>
      </c>
      <c r="H11" s="37">
        <f t="shared" si="1"/>
        <v>1393.442623</v>
      </c>
      <c r="I11" s="38">
        <v>1.0</v>
      </c>
      <c r="J11" s="56"/>
      <c r="K11" s="40">
        <f t="shared" si="2"/>
        <v>1393.44</v>
      </c>
      <c r="L11" s="41"/>
      <c r="M11" s="42">
        <f t="shared" si="3"/>
        <v>1393.44</v>
      </c>
      <c r="N11" s="43" t="s">
        <v>32</v>
      </c>
      <c r="O11" s="44">
        <f t="shared" si="4"/>
        <v>111.4752</v>
      </c>
      <c r="P11" s="43" t="s">
        <v>32</v>
      </c>
      <c r="Q11" s="45">
        <f t="shared" si="5"/>
        <v>55.7376</v>
      </c>
      <c r="R11" s="54"/>
      <c r="S11" s="47" t="s">
        <v>23</v>
      </c>
      <c r="T11" s="48"/>
      <c r="U11" s="48"/>
      <c r="V11" s="49"/>
      <c r="W11" s="50"/>
      <c r="X11" s="50"/>
      <c r="Y11" s="51"/>
      <c r="Z11" s="50"/>
      <c r="AA11" s="50"/>
      <c r="AB11" s="50"/>
      <c r="AC11" s="50"/>
      <c r="AD11" s="50"/>
      <c r="AE11" s="50"/>
      <c r="AF11" s="50"/>
      <c r="AG11" s="13"/>
      <c r="AH11" s="50"/>
      <c r="AI11" s="50"/>
    </row>
    <row r="12">
      <c r="A12" s="31" t="s">
        <v>27</v>
      </c>
      <c r="B12" s="32" t="s">
        <v>18</v>
      </c>
      <c r="C12" s="32" t="s">
        <v>18</v>
      </c>
      <c r="D12" s="33" t="s">
        <v>31</v>
      </c>
      <c r="E12" s="52" t="s">
        <v>26</v>
      </c>
      <c r="F12" s="35"/>
      <c r="G12" s="53">
        <v>102000.0</v>
      </c>
      <c r="H12" s="37">
        <f t="shared" si="1"/>
        <v>83606.55738</v>
      </c>
      <c r="I12" s="38">
        <v>1.0</v>
      </c>
      <c r="J12" s="56"/>
      <c r="K12" s="40">
        <f t="shared" si="2"/>
        <v>83606.56</v>
      </c>
      <c r="L12" s="41"/>
      <c r="M12" s="42">
        <f t="shared" si="3"/>
        <v>83606.56</v>
      </c>
      <c r="N12" s="43" t="s">
        <v>32</v>
      </c>
      <c r="O12" s="44">
        <f t="shared" si="4"/>
        <v>6688.5248</v>
      </c>
      <c r="P12" s="43" t="s">
        <v>32</v>
      </c>
      <c r="Q12" s="45">
        <f t="shared" si="5"/>
        <v>3344.2624</v>
      </c>
      <c r="R12" s="54"/>
      <c r="S12" s="47" t="s">
        <v>23</v>
      </c>
      <c r="T12" s="48"/>
      <c r="U12" s="48"/>
      <c r="V12" s="49"/>
      <c r="W12" s="50"/>
      <c r="X12" s="50"/>
      <c r="Y12" s="51"/>
      <c r="Z12" s="50"/>
      <c r="AA12" s="50"/>
      <c r="AB12" s="50"/>
      <c r="AC12" s="50"/>
      <c r="AD12" s="50"/>
      <c r="AE12" s="50"/>
      <c r="AF12" s="50"/>
      <c r="AG12" s="13"/>
      <c r="AH12" s="50"/>
      <c r="AI12" s="50"/>
    </row>
    <row r="13">
      <c r="A13" s="31" t="s">
        <v>27</v>
      </c>
      <c r="B13" s="32" t="s">
        <v>18</v>
      </c>
      <c r="C13" s="32" t="s">
        <v>18</v>
      </c>
      <c r="D13" s="33" t="s">
        <v>31</v>
      </c>
      <c r="E13" s="52" t="s">
        <v>26</v>
      </c>
      <c r="F13" s="35"/>
      <c r="G13" s="36">
        <v>1700.0</v>
      </c>
      <c r="H13" s="37">
        <f t="shared" si="1"/>
        <v>1393.442623</v>
      </c>
      <c r="I13" s="38">
        <v>1.0</v>
      </c>
      <c r="J13" s="56"/>
      <c r="K13" s="40">
        <f t="shared" si="2"/>
        <v>1393.44</v>
      </c>
      <c r="L13" s="41"/>
      <c r="M13" s="42">
        <f t="shared" si="3"/>
        <v>1393.44</v>
      </c>
      <c r="N13" s="43" t="s">
        <v>32</v>
      </c>
      <c r="O13" s="44">
        <f t="shared" si="4"/>
        <v>111.4752</v>
      </c>
      <c r="P13" s="43" t="s">
        <v>32</v>
      </c>
      <c r="Q13" s="45">
        <f t="shared" si="5"/>
        <v>55.7376</v>
      </c>
      <c r="R13" s="54"/>
      <c r="S13" s="47" t="s">
        <v>23</v>
      </c>
      <c r="T13" s="48"/>
      <c r="U13" s="48"/>
      <c r="V13" s="49"/>
      <c r="W13" s="50"/>
      <c r="X13" s="50"/>
      <c r="Y13" s="51"/>
      <c r="Z13" s="50"/>
      <c r="AA13" s="50"/>
      <c r="AB13" s="50"/>
      <c r="AC13" s="50"/>
      <c r="AD13" s="50"/>
      <c r="AE13" s="50"/>
      <c r="AF13" s="50"/>
      <c r="AG13" s="13"/>
      <c r="AH13" s="50"/>
      <c r="AI13" s="50"/>
    </row>
    <row r="14">
      <c r="A14" s="31" t="s">
        <v>27</v>
      </c>
      <c r="B14" s="32" t="s">
        <v>18</v>
      </c>
      <c r="C14" s="32" t="s">
        <v>18</v>
      </c>
      <c r="D14" s="33" t="s">
        <v>31</v>
      </c>
      <c r="E14" s="62" t="s">
        <v>33</v>
      </c>
      <c r="F14" s="35"/>
      <c r="G14" s="53">
        <v>54000.0</v>
      </c>
      <c r="H14" s="37">
        <f t="shared" si="1"/>
        <v>44262.29508</v>
      </c>
      <c r="I14" s="38">
        <v>1.0</v>
      </c>
      <c r="J14" s="56"/>
      <c r="K14" s="40">
        <f t="shared" si="2"/>
        <v>44262.3</v>
      </c>
      <c r="L14" s="41"/>
      <c r="M14" s="42">
        <f t="shared" si="3"/>
        <v>44262.3</v>
      </c>
      <c r="N14" s="43" t="s">
        <v>32</v>
      </c>
      <c r="O14" s="44">
        <f t="shared" si="4"/>
        <v>3540.984</v>
      </c>
      <c r="P14" s="43" t="s">
        <v>32</v>
      </c>
      <c r="Q14" s="45">
        <f t="shared" si="5"/>
        <v>1770.492</v>
      </c>
      <c r="R14" s="54"/>
      <c r="S14" s="47" t="s">
        <v>23</v>
      </c>
      <c r="T14" s="48"/>
      <c r="U14" s="48"/>
      <c r="V14" s="49"/>
      <c r="W14" s="50"/>
      <c r="X14" s="50"/>
      <c r="Y14" s="51"/>
      <c r="Z14" s="50"/>
      <c r="AA14" s="50"/>
      <c r="AB14" s="50"/>
      <c r="AC14" s="50"/>
      <c r="AD14" s="50"/>
      <c r="AE14" s="50"/>
      <c r="AF14" s="50"/>
      <c r="AG14" s="13"/>
      <c r="AH14" s="50"/>
      <c r="AI14" s="50"/>
    </row>
    <row r="15">
      <c r="A15" s="31" t="s">
        <v>27</v>
      </c>
      <c r="B15" s="32" t="s">
        <v>18</v>
      </c>
      <c r="C15" s="32" t="s">
        <v>18</v>
      </c>
      <c r="D15" s="33" t="s">
        <v>31</v>
      </c>
      <c r="E15" s="62" t="s">
        <v>33</v>
      </c>
      <c r="F15" s="35"/>
      <c r="G15" s="36">
        <v>900.0</v>
      </c>
      <c r="H15" s="37">
        <f t="shared" si="1"/>
        <v>737.704918</v>
      </c>
      <c r="I15" s="38">
        <v>1.0</v>
      </c>
      <c r="J15" s="56"/>
      <c r="K15" s="40">
        <f t="shared" si="2"/>
        <v>737.7</v>
      </c>
      <c r="L15" s="41"/>
      <c r="M15" s="42">
        <f t="shared" si="3"/>
        <v>737.7</v>
      </c>
      <c r="N15" s="43" t="s">
        <v>32</v>
      </c>
      <c r="O15" s="44">
        <f t="shared" si="4"/>
        <v>59.016</v>
      </c>
      <c r="P15" s="43" t="s">
        <v>32</v>
      </c>
      <c r="Q15" s="45">
        <f t="shared" si="5"/>
        <v>29.508</v>
      </c>
      <c r="R15" s="54"/>
      <c r="S15" s="47" t="s">
        <v>23</v>
      </c>
      <c r="T15" s="48"/>
      <c r="U15" s="48"/>
      <c r="V15" s="49"/>
      <c r="W15" s="50"/>
      <c r="X15" s="50"/>
      <c r="Y15" s="51"/>
      <c r="Z15" s="50"/>
      <c r="AA15" s="50"/>
      <c r="AB15" s="50"/>
      <c r="AC15" s="50"/>
      <c r="AD15" s="50"/>
      <c r="AE15" s="50"/>
      <c r="AF15" s="50"/>
      <c r="AG15" s="13"/>
      <c r="AH15" s="50"/>
      <c r="AI15" s="50"/>
    </row>
    <row r="16">
      <c r="A16" s="31" t="s">
        <v>27</v>
      </c>
      <c r="B16" s="32" t="s">
        <v>18</v>
      </c>
      <c r="C16" s="32" t="s">
        <v>18</v>
      </c>
      <c r="D16" s="33" t="s">
        <v>31</v>
      </c>
      <c r="E16" s="52" t="s">
        <v>20</v>
      </c>
      <c r="F16" s="35"/>
      <c r="G16" s="53">
        <v>39507.0</v>
      </c>
      <c r="H16" s="37">
        <f t="shared" si="1"/>
        <v>32382.78689</v>
      </c>
      <c r="I16" s="38">
        <v>1.0</v>
      </c>
      <c r="J16" s="56"/>
      <c r="K16" s="40">
        <f t="shared" si="2"/>
        <v>32382.79</v>
      </c>
      <c r="L16" s="41"/>
      <c r="M16" s="42">
        <f t="shared" si="3"/>
        <v>32382.79</v>
      </c>
      <c r="N16" s="43" t="s">
        <v>32</v>
      </c>
      <c r="O16" s="44">
        <f t="shared" si="4"/>
        <v>2590.6232</v>
      </c>
      <c r="P16" s="43" t="s">
        <v>32</v>
      </c>
      <c r="Q16" s="45">
        <f t="shared" si="5"/>
        <v>1295.3116</v>
      </c>
      <c r="R16" s="54"/>
      <c r="S16" s="47" t="s">
        <v>23</v>
      </c>
      <c r="T16" s="48"/>
      <c r="U16" s="48"/>
      <c r="V16" s="49"/>
      <c r="W16" s="50"/>
      <c r="X16" s="50"/>
      <c r="Y16" s="51"/>
      <c r="Z16" s="50"/>
      <c r="AA16" s="50"/>
      <c r="AB16" s="50"/>
      <c r="AC16" s="50"/>
      <c r="AD16" s="50"/>
      <c r="AE16" s="50"/>
      <c r="AF16" s="50"/>
      <c r="AG16" s="13"/>
      <c r="AH16" s="50"/>
      <c r="AI16" s="50"/>
    </row>
    <row r="17">
      <c r="A17" s="31" t="s">
        <v>17</v>
      </c>
      <c r="B17" s="32" t="s">
        <v>18</v>
      </c>
      <c r="C17" s="32" t="s">
        <v>18</v>
      </c>
      <c r="D17" s="33" t="s">
        <v>34</v>
      </c>
      <c r="E17" s="62" t="s">
        <v>24</v>
      </c>
      <c r="F17" s="35"/>
      <c r="G17" s="53">
        <v>223667.0</v>
      </c>
      <c r="H17" s="37">
        <f t="shared" si="1"/>
        <v>183333.6066</v>
      </c>
      <c r="I17" s="63">
        <v>1.0</v>
      </c>
      <c r="J17" s="39"/>
      <c r="K17" s="40">
        <f t="shared" si="2"/>
        <v>183333.61</v>
      </c>
      <c r="L17" s="41"/>
      <c r="M17" s="42">
        <f t="shared" si="3"/>
        <v>183333.61</v>
      </c>
      <c r="N17" s="43" t="s">
        <v>32</v>
      </c>
      <c r="O17" s="44">
        <f t="shared" si="4"/>
        <v>14666.6888</v>
      </c>
      <c r="P17" s="43" t="s">
        <v>30</v>
      </c>
      <c r="Q17" s="45">
        <f t="shared" si="5"/>
        <v>7333.3444</v>
      </c>
      <c r="R17" s="54"/>
      <c r="S17" s="47" t="s">
        <v>23</v>
      </c>
      <c r="T17" s="48"/>
      <c r="U17" s="48"/>
      <c r="V17" s="49"/>
      <c r="W17" s="50"/>
      <c r="X17" s="50"/>
      <c r="Y17" s="51"/>
      <c r="Z17" s="50"/>
      <c r="AA17" s="50"/>
      <c r="AB17" s="50"/>
      <c r="AC17" s="50"/>
      <c r="AD17" s="50"/>
      <c r="AE17" s="50"/>
      <c r="AF17" s="50"/>
      <c r="AG17" s="13"/>
      <c r="AH17" s="50"/>
      <c r="AI17" s="50"/>
    </row>
    <row r="18">
      <c r="A18" s="31" t="s">
        <v>17</v>
      </c>
      <c r="B18" s="32" t="s">
        <v>18</v>
      </c>
      <c r="C18" s="32" t="s">
        <v>18</v>
      </c>
      <c r="D18" s="33" t="s">
        <v>34</v>
      </c>
      <c r="E18" s="64" t="s">
        <v>20</v>
      </c>
      <c r="F18" s="35"/>
      <c r="G18" s="53">
        <v>153992.0</v>
      </c>
      <c r="H18" s="37">
        <f t="shared" si="1"/>
        <v>126222.9508</v>
      </c>
      <c r="I18" s="63">
        <v>1.0</v>
      </c>
      <c r="J18" s="39"/>
      <c r="K18" s="40">
        <f t="shared" si="2"/>
        <v>126222.95</v>
      </c>
      <c r="L18" s="41"/>
      <c r="M18" s="42">
        <f t="shared" si="3"/>
        <v>126222.95</v>
      </c>
      <c r="N18" s="43" t="s">
        <v>32</v>
      </c>
      <c r="O18" s="44">
        <f t="shared" si="4"/>
        <v>10097.836</v>
      </c>
      <c r="P18" s="43" t="s">
        <v>30</v>
      </c>
      <c r="Q18" s="45">
        <f t="shared" si="5"/>
        <v>5048.918</v>
      </c>
      <c r="R18" s="54"/>
      <c r="S18" s="47" t="s">
        <v>23</v>
      </c>
      <c r="T18" s="48"/>
      <c r="U18" s="48"/>
      <c r="V18" s="49"/>
      <c r="W18" s="50"/>
      <c r="X18" s="50"/>
      <c r="Y18" s="51"/>
      <c r="Z18" s="50"/>
      <c r="AA18" s="50"/>
      <c r="AB18" s="50"/>
      <c r="AC18" s="50"/>
      <c r="AD18" s="50"/>
      <c r="AE18" s="50"/>
      <c r="AF18" s="50"/>
      <c r="AG18" s="13"/>
      <c r="AH18" s="50"/>
      <c r="AI18" s="50"/>
    </row>
    <row r="19">
      <c r="A19" s="31" t="s">
        <v>17</v>
      </c>
      <c r="B19" s="32" t="s">
        <v>18</v>
      </c>
      <c r="C19" s="32" t="s">
        <v>18</v>
      </c>
      <c r="D19" s="33" t="s">
        <v>35</v>
      </c>
      <c r="E19" s="62" t="s">
        <v>33</v>
      </c>
      <c r="F19" s="35"/>
      <c r="G19" s="36">
        <v>118674.72</v>
      </c>
      <c r="H19" s="37">
        <f t="shared" si="1"/>
        <v>97274.36066</v>
      </c>
      <c r="I19" s="63">
        <v>1.0</v>
      </c>
      <c r="J19" s="39"/>
      <c r="K19" s="40">
        <f t="shared" si="2"/>
        <v>97274.36</v>
      </c>
      <c r="L19" s="41"/>
      <c r="M19" s="42">
        <f t="shared" si="3"/>
        <v>97274.36</v>
      </c>
      <c r="N19" s="43" t="s">
        <v>29</v>
      </c>
      <c r="O19" s="44">
        <f t="shared" si="4"/>
        <v>7781.9488</v>
      </c>
      <c r="P19" s="43" t="s">
        <v>30</v>
      </c>
      <c r="Q19" s="45">
        <f t="shared" si="5"/>
        <v>3890.9744</v>
      </c>
      <c r="R19" s="54"/>
      <c r="S19" s="47" t="s">
        <v>23</v>
      </c>
      <c r="T19" s="48"/>
      <c r="U19" s="48"/>
      <c r="V19" s="49"/>
      <c r="W19" s="50"/>
      <c r="X19" s="50"/>
      <c r="Y19" s="51"/>
      <c r="Z19" s="50"/>
      <c r="AA19" s="50"/>
      <c r="AB19" s="50"/>
      <c r="AC19" s="50"/>
      <c r="AD19" s="50"/>
      <c r="AE19" s="50"/>
      <c r="AF19" s="50"/>
      <c r="AG19" s="13"/>
      <c r="AH19" s="50"/>
      <c r="AI19" s="50"/>
    </row>
    <row r="20">
      <c r="A20" s="31" t="s">
        <v>17</v>
      </c>
      <c r="B20" s="32" t="s">
        <v>18</v>
      </c>
      <c r="C20" s="32" t="s">
        <v>18</v>
      </c>
      <c r="D20" s="33" t="s">
        <v>36</v>
      </c>
      <c r="E20" s="62" t="s">
        <v>26</v>
      </c>
      <c r="F20" s="35"/>
      <c r="G20" s="53">
        <v>91500.0</v>
      </c>
      <c r="H20" s="37">
        <f t="shared" si="1"/>
        <v>75000</v>
      </c>
      <c r="I20" s="63">
        <v>1.0</v>
      </c>
      <c r="J20" s="39"/>
      <c r="K20" s="40">
        <f t="shared" si="2"/>
        <v>75000</v>
      </c>
      <c r="L20" s="41"/>
      <c r="M20" s="42">
        <f t="shared" si="3"/>
        <v>75000</v>
      </c>
      <c r="N20" s="43" t="s">
        <v>29</v>
      </c>
      <c r="O20" s="44">
        <f t="shared" si="4"/>
        <v>6000</v>
      </c>
      <c r="P20" s="65" t="s">
        <v>30</v>
      </c>
      <c r="Q20" s="45">
        <f t="shared" si="5"/>
        <v>3000</v>
      </c>
      <c r="R20" s="54"/>
      <c r="S20" s="47" t="s">
        <v>23</v>
      </c>
      <c r="T20" s="48"/>
      <c r="U20" s="48"/>
      <c r="V20" s="49"/>
      <c r="W20" s="50"/>
      <c r="X20" s="50"/>
      <c r="Y20" s="51"/>
      <c r="Z20" s="50"/>
      <c r="AA20" s="50"/>
      <c r="AB20" s="50"/>
      <c r="AC20" s="50"/>
      <c r="AD20" s="50"/>
      <c r="AE20" s="50"/>
      <c r="AF20" s="50"/>
      <c r="AG20" s="13"/>
      <c r="AH20" s="50"/>
      <c r="AI20" s="50"/>
    </row>
    <row r="21">
      <c r="A21" s="31" t="s">
        <v>17</v>
      </c>
      <c r="B21" s="32" t="s">
        <v>18</v>
      </c>
      <c r="C21" s="32" t="s">
        <v>18</v>
      </c>
      <c r="D21" s="33" t="s">
        <v>36</v>
      </c>
      <c r="E21" s="62" t="s">
        <v>24</v>
      </c>
      <c r="F21" s="35"/>
      <c r="G21" s="53">
        <v>96176.66</v>
      </c>
      <c r="H21" s="37">
        <f t="shared" si="1"/>
        <v>78833.32787</v>
      </c>
      <c r="I21" s="63">
        <v>1.0</v>
      </c>
      <c r="J21" s="39"/>
      <c r="K21" s="40">
        <f t="shared" si="2"/>
        <v>78833.33</v>
      </c>
      <c r="L21" s="41"/>
      <c r="M21" s="42">
        <f t="shared" si="3"/>
        <v>78833.33</v>
      </c>
      <c r="N21" s="43" t="s">
        <v>29</v>
      </c>
      <c r="O21" s="44">
        <f t="shared" si="4"/>
        <v>6306.6664</v>
      </c>
      <c r="P21" s="65" t="s">
        <v>30</v>
      </c>
      <c r="Q21" s="45">
        <f t="shared" si="5"/>
        <v>3153.3332</v>
      </c>
      <c r="R21" s="54"/>
      <c r="S21" s="47" t="s">
        <v>23</v>
      </c>
      <c r="T21" s="48"/>
      <c r="U21" s="48"/>
      <c r="V21" s="49"/>
      <c r="W21" s="50"/>
      <c r="X21" s="50"/>
      <c r="Y21" s="51"/>
      <c r="Z21" s="50"/>
      <c r="AA21" s="50"/>
      <c r="AB21" s="50"/>
      <c r="AC21" s="50"/>
      <c r="AD21" s="50"/>
      <c r="AE21" s="50"/>
      <c r="AF21" s="50"/>
      <c r="AG21" s="13"/>
      <c r="AH21" s="50"/>
      <c r="AI21" s="50"/>
    </row>
    <row r="22">
      <c r="A22" s="31" t="s">
        <v>17</v>
      </c>
      <c r="B22" s="32" t="s">
        <v>18</v>
      </c>
      <c r="C22" s="32" t="s">
        <v>18</v>
      </c>
      <c r="D22" s="33" t="s">
        <v>37</v>
      </c>
      <c r="E22" s="62" t="s">
        <v>26</v>
      </c>
      <c r="F22" s="35"/>
      <c r="G22" s="53">
        <v>91500.0</v>
      </c>
      <c r="H22" s="37">
        <f t="shared" si="1"/>
        <v>75000</v>
      </c>
      <c r="I22" s="63">
        <v>1.0</v>
      </c>
      <c r="J22" s="39"/>
      <c r="K22" s="40">
        <f t="shared" si="2"/>
        <v>75000</v>
      </c>
      <c r="L22" s="41"/>
      <c r="M22" s="42">
        <f t="shared" si="3"/>
        <v>75000</v>
      </c>
      <c r="N22" s="43" t="s">
        <v>21</v>
      </c>
      <c r="O22" s="44">
        <f t="shared" si="4"/>
        <v>6000</v>
      </c>
      <c r="P22" s="43" t="s">
        <v>30</v>
      </c>
      <c r="Q22" s="45">
        <f t="shared" si="5"/>
        <v>3000</v>
      </c>
      <c r="R22" s="54"/>
      <c r="S22" s="47" t="s">
        <v>23</v>
      </c>
      <c r="T22" s="48"/>
      <c r="U22" s="48"/>
      <c r="V22" s="49"/>
      <c r="W22" s="50"/>
      <c r="X22" s="50"/>
      <c r="Y22" s="51"/>
      <c r="Z22" s="50"/>
      <c r="AA22" s="50"/>
      <c r="AB22" s="50"/>
      <c r="AC22" s="50"/>
      <c r="AD22" s="50"/>
      <c r="AE22" s="50"/>
      <c r="AF22" s="50"/>
      <c r="AG22" s="13"/>
      <c r="AH22" s="50"/>
      <c r="AI22" s="50"/>
    </row>
    <row r="23">
      <c r="A23" s="31" t="s">
        <v>17</v>
      </c>
      <c r="B23" s="32" t="s">
        <v>18</v>
      </c>
      <c r="C23" s="32" t="s">
        <v>18</v>
      </c>
      <c r="D23" s="33" t="s">
        <v>37</v>
      </c>
      <c r="E23" s="62" t="s">
        <v>26</v>
      </c>
      <c r="F23" s="35"/>
      <c r="G23" s="53">
        <v>30603.19</v>
      </c>
      <c r="H23" s="37">
        <f t="shared" si="1"/>
        <v>25084.58197</v>
      </c>
      <c r="I23" s="63">
        <v>1.0</v>
      </c>
      <c r="J23" s="39"/>
      <c r="K23" s="40">
        <f t="shared" si="2"/>
        <v>25084.58</v>
      </c>
      <c r="L23" s="41"/>
      <c r="M23" s="42">
        <f t="shared" si="3"/>
        <v>25084.58</v>
      </c>
      <c r="N23" s="43" t="s">
        <v>21</v>
      </c>
      <c r="O23" s="44">
        <f t="shared" si="4"/>
        <v>2006.7664</v>
      </c>
      <c r="P23" s="43" t="s">
        <v>30</v>
      </c>
      <c r="Q23" s="45">
        <f t="shared" si="5"/>
        <v>1003.3832</v>
      </c>
      <c r="R23" s="54"/>
      <c r="S23" s="47" t="s">
        <v>23</v>
      </c>
      <c r="T23" s="48"/>
      <c r="U23" s="48"/>
      <c r="V23" s="49"/>
      <c r="W23" s="50"/>
      <c r="X23" s="50"/>
      <c r="Y23" s="51"/>
      <c r="Z23" s="50"/>
      <c r="AA23" s="50"/>
      <c r="AB23" s="50"/>
      <c r="AC23" s="50"/>
      <c r="AD23" s="50"/>
      <c r="AE23" s="50"/>
      <c r="AF23" s="50"/>
      <c r="AG23" s="13"/>
      <c r="AH23" s="50"/>
      <c r="AI23" s="50"/>
    </row>
    <row r="24">
      <c r="A24" s="66" t="s">
        <v>38</v>
      </c>
      <c r="B24" s="32" t="s">
        <v>18</v>
      </c>
      <c r="C24" s="32" t="s">
        <v>18</v>
      </c>
      <c r="D24" s="33" t="s">
        <v>39</v>
      </c>
      <c r="E24" s="62" t="s">
        <v>24</v>
      </c>
      <c r="F24" s="35"/>
      <c r="G24" s="53">
        <v>49800.0</v>
      </c>
      <c r="H24" s="67">
        <f t="shared" ref="H24:H25" si="6">G24</f>
        <v>49800</v>
      </c>
      <c r="I24" s="38">
        <v>1.0</v>
      </c>
      <c r="J24" s="56"/>
      <c r="K24" s="40">
        <f t="shared" si="2"/>
        <v>49800</v>
      </c>
      <c r="L24" s="41"/>
      <c r="M24" s="42">
        <f t="shared" si="3"/>
        <v>49800</v>
      </c>
      <c r="N24" s="43" t="s">
        <v>29</v>
      </c>
      <c r="O24" s="44">
        <f t="shared" si="4"/>
        <v>3984</v>
      </c>
      <c r="P24" s="43" t="s">
        <v>22</v>
      </c>
      <c r="Q24" s="45">
        <f t="shared" si="5"/>
        <v>1992</v>
      </c>
      <c r="R24" s="54"/>
      <c r="S24" s="47" t="s">
        <v>23</v>
      </c>
      <c r="T24" s="48"/>
      <c r="U24" s="48"/>
      <c r="V24" s="49"/>
      <c r="W24" s="50"/>
      <c r="X24" s="50"/>
      <c r="Y24" s="51"/>
      <c r="Z24" s="50"/>
      <c r="AA24" s="50"/>
      <c r="AB24" s="50"/>
      <c r="AC24" s="50"/>
      <c r="AD24" s="50"/>
      <c r="AE24" s="50"/>
      <c r="AF24" s="50"/>
      <c r="AG24" s="13"/>
      <c r="AH24" s="50"/>
      <c r="AI24" s="50"/>
    </row>
    <row r="25">
      <c r="A25" s="66" t="s">
        <v>38</v>
      </c>
      <c r="B25" s="32" t="s">
        <v>18</v>
      </c>
      <c r="C25" s="32" t="s">
        <v>18</v>
      </c>
      <c r="D25" s="33" t="s">
        <v>39</v>
      </c>
      <c r="E25" s="62" t="s">
        <v>26</v>
      </c>
      <c r="F25" s="35"/>
      <c r="G25" s="53">
        <v>49800.0</v>
      </c>
      <c r="H25" s="67">
        <f t="shared" si="6"/>
        <v>49800</v>
      </c>
      <c r="I25" s="38">
        <v>1.0</v>
      </c>
      <c r="J25" s="56"/>
      <c r="K25" s="40">
        <f t="shared" si="2"/>
        <v>49800</v>
      </c>
      <c r="L25" s="41"/>
      <c r="M25" s="42">
        <f t="shared" si="3"/>
        <v>49800</v>
      </c>
      <c r="N25" s="43" t="s">
        <v>29</v>
      </c>
      <c r="O25" s="44">
        <f t="shared" si="4"/>
        <v>3984</v>
      </c>
      <c r="P25" s="43" t="s">
        <v>22</v>
      </c>
      <c r="Q25" s="45">
        <f t="shared" si="5"/>
        <v>1992</v>
      </c>
      <c r="R25" s="54"/>
      <c r="S25" s="47" t="s">
        <v>23</v>
      </c>
      <c r="T25" s="48"/>
      <c r="U25" s="48"/>
      <c r="V25" s="49"/>
      <c r="W25" s="50"/>
      <c r="X25" s="50"/>
      <c r="Y25" s="51"/>
      <c r="Z25" s="50"/>
      <c r="AA25" s="50"/>
      <c r="AB25" s="50"/>
      <c r="AC25" s="50"/>
      <c r="AD25" s="50"/>
      <c r="AE25" s="50"/>
      <c r="AF25" s="50"/>
      <c r="AG25" s="13"/>
      <c r="AH25" s="50"/>
      <c r="AI25" s="50"/>
    </row>
    <row r="26">
      <c r="A26" s="66"/>
      <c r="B26" s="68"/>
      <c r="C26" s="68"/>
      <c r="D26" s="33"/>
      <c r="E26" s="69"/>
      <c r="F26" s="35"/>
      <c r="G26" s="70"/>
      <c r="H26" s="37"/>
      <c r="I26" s="63"/>
      <c r="J26" s="56"/>
      <c r="K26" s="40"/>
      <c r="L26" s="41"/>
      <c r="M26" s="71"/>
      <c r="N26" s="54"/>
      <c r="O26" s="44"/>
      <c r="P26" s="54"/>
      <c r="Q26" s="45"/>
      <c r="R26" s="54"/>
      <c r="S26" s="47"/>
      <c r="T26" s="48"/>
      <c r="U26" s="48"/>
      <c r="V26" s="49"/>
      <c r="W26" s="50"/>
      <c r="X26" s="50"/>
      <c r="Y26" s="51"/>
      <c r="Z26" s="50"/>
      <c r="AA26" s="50"/>
      <c r="AB26" s="50"/>
      <c r="AC26" s="50"/>
      <c r="AD26" s="50"/>
      <c r="AE26" s="50"/>
      <c r="AF26" s="50"/>
      <c r="AG26" s="13"/>
      <c r="AH26" s="50"/>
      <c r="AI26" s="50"/>
    </row>
    <row r="27">
      <c r="A27" s="66"/>
      <c r="B27" s="68"/>
      <c r="C27" s="68"/>
      <c r="D27" s="33"/>
      <c r="E27" s="69"/>
      <c r="F27" s="35"/>
      <c r="G27" s="70"/>
      <c r="H27" s="37"/>
      <c r="I27" s="63"/>
      <c r="J27" s="56"/>
      <c r="K27" s="40"/>
      <c r="L27" s="41"/>
      <c r="M27" s="71"/>
      <c r="N27" s="54"/>
      <c r="O27" s="44"/>
      <c r="P27" s="54"/>
      <c r="Q27" s="45"/>
      <c r="R27" s="54"/>
      <c r="S27" s="47"/>
      <c r="T27" s="48"/>
      <c r="U27" s="48"/>
      <c r="V27" s="49"/>
      <c r="W27" s="50"/>
      <c r="X27" s="50"/>
      <c r="Y27" s="51"/>
      <c r="Z27" s="50"/>
      <c r="AA27" s="50"/>
      <c r="AB27" s="50"/>
      <c r="AC27" s="50"/>
      <c r="AD27" s="50"/>
      <c r="AE27" s="50"/>
      <c r="AF27" s="50"/>
      <c r="AG27" s="13"/>
      <c r="AH27" s="50"/>
      <c r="AI27" s="50"/>
    </row>
    <row r="28">
      <c r="A28" s="72"/>
      <c r="B28" s="73"/>
      <c r="C28" s="73"/>
      <c r="D28" s="74" t="s">
        <v>40</v>
      </c>
      <c r="E28" s="75"/>
      <c r="F28" s="76"/>
      <c r="G28" s="77">
        <f t="shared" ref="G28:H28" si="7">SUM(G4:G27)</f>
        <v>1882161.75</v>
      </c>
      <c r="H28" s="77">
        <f t="shared" si="7"/>
        <v>1560716.189</v>
      </c>
      <c r="I28" s="77"/>
      <c r="J28" s="77">
        <f t="shared" ref="J28:M28" si="8">SUM(J4:J27)</f>
        <v>0</v>
      </c>
      <c r="K28" s="77">
        <f t="shared" si="8"/>
        <v>1560716.19</v>
      </c>
      <c r="L28" s="77">
        <f t="shared" si="8"/>
        <v>0</v>
      </c>
      <c r="M28" s="77">
        <f t="shared" si="8"/>
        <v>1560716.19</v>
      </c>
      <c r="N28" s="77"/>
      <c r="O28" s="77">
        <f>SUM(O4:O27)</f>
        <v>124857.2952</v>
      </c>
      <c r="P28" s="77"/>
      <c r="Q28" s="77">
        <f>SUM(Q4:Q27)</f>
        <v>62428.6476</v>
      </c>
      <c r="R28" s="77"/>
      <c r="S28" s="77"/>
      <c r="T28" s="77"/>
      <c r="U28" s="77"/>
      <c r="V28" s="77" t="str">
        <f>SUM(#REF!)</f>
        <v>#REF!</v>
      </c>
      <c r="W28" s="13"/>
      <c r="X28" s="13"/>
      <c r="Y28" s="51" t="str">
        <f>CONCATENATE(D30,E30)</f>
        <v/>
      </c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>
      <c r="A29" s="13"/>
      <c r="B29" s="13"/>
      <c r="C29" s="13"/>
      <c r="D29" s="13"/>
      <c r="E29" s="13"/>
      <c r="F29" s="78"/>
      <c r="G29" s="78"/>
      <c r="H29" s="13"/>
      <c r="I29" s="13"/>
      <c r="J29" s="79"/>
      <c r="K29" s="13"/>
      <c r="L29" s="13"/>
      <c r="M29" s="80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51" t="str">
        <f t="shared" ref="Y29:Y30" si="9">CONCATENATE(D47,E47)</f>
        <v/>
      </c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>
      <c r="A30" s="13"/>
      <c r="B30" s="13"/>
      <c r="C30" s="13"/>
      <c r="D30" s="13"/>
      <c r="E30" s="13"/>
      <c r="F30" s="81"/>
      <c r="G30" s="81"/>
      <c r="H30" s="13"/>
      <c r="I30" s="13"/>
      <c r="J30" s="13"/>
      <c r="K30" s="13"/>
      <c r="L30" s="80"/>
      <c r="M30" s="80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51" t="str">
        <f t="shared" si="9"/>
        <v/>
      </c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>
      <c r="A31" s="13"/>
      <c r="B31" s="13"/>
      <c r="C31" s="13"/>
      <c r="D31" s="13"/>
      <c r="E31" s="80"/>
      <c r="F31" s="82"/>
      <c r="G31" s="82"/>
      <c r="H31" s="13"/>
      <c r="I31" s="13"/>
      <c r="J31" s="13"/>
      <c r="K31" s="13"/>
      <c r="L31" s="80"/>
      <c r="M31" s="83"/>
      <c r="N31" s="80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 hidden="1">
      <c r="A32" s="13"/>
      <c r="B32" s="13"/>
      <c r="C32" s="13"/>
      <c r="D32" s="13"/>
      <c r="E32" s="54" t="s">
        <v>32</v>
      </c>
      <c r="F32" s="84"/>
      <c r="G32" s="82">
        <f>SUMIF(N4:N27,E32,M4:M27)</f>
        <v>556939.35</v>
      </c>
      <c r="H32" s="80">
        <f>124742</f>
        <v>124742</v>
      </c>
      <c r="I32" s="84">
        <f t="shared" ref="I32:I34" si="10">H32/G32</f>
        <v>0.2239777096</v>
      </c>
      <c r="J32" s="85"/>
      <c r="K32" s="84"/>
      <c r="L32" s="80"/>
      <c r="N32" s="80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 hidden="1">
      <c r="A33" s="13"/>
      <c r="B33" s="13"/>
      <c r="C33" s="13"/>
      <c r="D33" s="13"/>
      <c r="E33" s="46" t="s">
        <v>41</v>
      </c>
      <c r="F33" s="84"/>
      <c r="G33" s="82">
        <f>SUMIF(N4:N27,E33,M4:M27)</f>
        <v>0</v>
      </c>
      <c r="H33" s="80">
        <v>65000.0</v>
      </c>
      <c r="I33" s="84" t="str">
        <f t="shared" si="10"/>
        <v>#DIV/0!</v>
      </c>
      <c r="J33" s="13"/>
      <c r="K33" s="13"/>
      <c r="L33" s="80"/>
      <c r="M33" s="83"/>
      <c r="N33" s="80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 hidden="1">
      <c r="A34" s="13"/>
      <c r="B34" s="13"/>
      <c r="C34" s="13"/>
      <c r="D34" s="13"/>
      <c r="E34" s="54" t="s">
        <v>21</v>
      </c>
      <c r="F34" s="84"/>
      <c r="G34" s="82">
        <f>SUMIF(N4:N27,E34,M4:M27)</f>
        <v>539349.22</v>
      </c>
      <c r="H34" s="80">
        <v>89999.0</v>
      </c>
      <c r="I34" s="84">
        <f t="shared" si="10"/>
        <v>0.166865913</v>
      </c>
      <c r="J34" s="13"/>
      <c r="K34" s="13"/>
      <c r="L34" s="80"/>
      <c r="M34" s="83"/>
      <c r="N34" s="80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 hidden="1">
      <c r="A35" s="13"/>
      <c r="B35" s="13"/>
      <c r="C35" s="13"/>
      <c r="D35" s="13"/>
      <c r="E35" s="80"/>
      <c r="F35" s="84"/>
      <c r="G35" s="84"/>
      <c r="H35" s="13"/>
      <c r="I35" s="84"/>
      <c r="J35" s="13"/>
      <c r="K35" s="13"/>
      <c r="L35" s="80"/>
      <c r="M35" s="86"/>
      <c r="N35" s="80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 hidden="1">
      <c r="A36" s="13"/>
      <c r="B36" s="13"/>
      <c r="C36" s="13"/>
      <c r="D36" s="13"/>
      <c r="E36" s="54" t="s">
        <v>42</v>
      </c>
      <c r="F36" s="84"/>
      <c r="G36" s="82">
        <f>SUMIF(P4:P27,E36,M4:M27)</f>
        <v>0</v>
      </c>
      <c r="H36" s="80">
        <v>114368.0</v>
      </c>
      <c r="I36" s="84" t="str">
        <f t="shared" ref="I36:I39" si="11">H36/G36</f>
        <v>#DIV/0!</v>
      </c>
      <c r="J36" s="13"/>
      <c r="K36" s="13"/>
      <c r="L36" s="80"/>
      <c r="M36" s="83"/>
      <c r="N36" s="80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hidden="1">
      <c r="A37" s="13"/>
      <c r="B37" s="13"/>
      <c r="C37" s="13"/>
      <c r="D37" s="13"/>
      <c r="E37" s="54" t="s">
        <v>43</v>
      </c>
      <c r="F37" s="84"/>
      <c r="G37" s="82">
        <f>SUMIF(P4:P27,E37,M4:M27)</f>
        <v>0</v>
      </c>
      <c r="H37" s="80">
        <v>86818.0</v>
      </c>
      <c r="I37" s="84" t="str">
        <f t="shared" si="11"/>
        <v>#DIV/0!</v>
      </c>
      <c r="J37" s="13"/>
      <c r="K37" s="13"/>
      <c r="L37" s="80"/>
      <c r="M37" s="83"/>
      <c r="N37" s="80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hidden="1">
      <c r="A38" s="13"/>
      <c r="B38" s="13"/>
      <c r="C38" s="13"/>
      <c r="D38" s="13"/>
      <c r="E38" s="54" t="s">
        <v>22</v>
      </c>
      <c r="F38" s="84"/>
      <c r="G38" s="82">
        <f>SUMIF(P4:P27,E38,M4:M27)</f>
        <v>538864.64</v>
      </c>
      <c r="H38" s="80">
        <v>100000.0</v>
      </c>
      <c r="I38" s="84">
        <f t="shared" si="11"/>
        <v>0.1855753608</v>
      </c>
      <c r="J38" s="13"/>
      <c r="K38" s="13"/>
      <c r="L38" s="80"/>
      <c r="M38" s="83"/>
      <c r="N38" s="80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hidden="1">
      <c r="A39" s="13"/>
      <c r="B39" s="13"/>
      <c r="C39" s="13"/>
      <c r="D39" s="13"/>
      <c r="E39" s="54" t="s">
        <v>30</v>
      </c>
      <c r="F39" s="84"/>
      <c r="G39" s="82">
        <f>SUMIF(P4:P27,E39,M4:M27)</f>
        <v>774468.76</v>
      </c>
      <c r="H39" s="80">
        <v>90000.0</v>
      </c>
      <c r="I39" s="84">
        <f t="shared" si="11"/>
        <v>0.1162086899</v>
      </c>
      <c r="J39" s="13"/>
      <c r="K39" s="13"/>
      <c r="L39" s="80"/>
      <c r="M39" s="83"/>
      <c r="N39" s="80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hidden="1">
      <c r="A40" s="13"/>
      <c r="B40" s="13"/>
      <c r="C40" s="13"/>
      <c r="D40" s="13"/>
      <c r="E40" s="80"/>
      <c r="F40" s="84"/>
      <c r="G40" s="84"/>
      <c r="H40" s="13"/>
      <c r="I40" s="13"/>
      <c r="J40" s="13"/>
      <c r="K40" s="13"/>
      <c r="L40" s="80"/>
      <c r="M40" s="83"/>
      <c r="N40" s="80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 hidden="1">
      <c r="A41" s="13"/>
      <c r="B41" s="13"/>
      <c r="C41" s="13"/>
      <c r="D41" s="13"/>
      <c r="E41" s="80"/>
      <c r="F41" s="84"/>
      <c r="G41" s="84"/>
      <c r="H41" s="13"/>
      <c r="I41" s="13"/>
      <c r="J41" s="13"/>
      <c r="K41" s="13"/>
      <c r="L41" s="80"/>
      <c r="M41" s="83"/>
      <c r="N41" s="80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hidden="1">
      <c r="A42" s="13"/>
      <c r="B42" s="13"/>
      <c r="C42" s="13"/>
      <c r="D42" s="13"/>
      <c r="E42" s="80"/>
      <c r="F42" s="84"/>
      <c r="G42" s="84"/>
      <c r="H42" s="13"/>
      <c r="I42" s="13"/>
      <c r="J42" s="13"/>
      <c r="K42" s="13"/>
      <c r="L42" s="80"/>
      <c r="M42" s="83"/>
      <c r="N42" s="80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hidden="1">
      <c r="A43" s="13"/>
      <c r="B43" s="13"/>
      <c r="C43" s="13"/>
      <c r="D43" s="13"/>
      <c r="E43" s="80"/>
      <c r="F43" s="84"/>
      <c r="G43" s="84"/>
      <c r="H43" s="13"/>
      <c r="I43" s="13"/>
      <c r="J43" s="13"/>
      <c r="K43" s="13"/>
      <c r="L43" s="80"/>
      <c r="M43" s="83"/>
      <c r="N43" s="80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hidden="1">
      <c r="A44" s="13"/>
      <c r="B44" s="13"/>
      <c r="C44" s="13"/>
      <c r="D44" s="13"/>
      <c r="E44" s="80"/>
      <c r="F44" s="84"/>
      <c r="G44" s="84"/>
      <c r="H44" s="13"/>
      <c r="I44" s="13"/>
      <c r="J44" s="13"/>
      <c r="K44" s="13"/>
      <c r="L44" s="80"/>
      <c r="M44" s="83"/>
      <c r="N44" s="80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 hidden="1">
      <c r="A45" s="13"/>
      <c r="B45" s="13"/>
      <c r="C45" s="13"/>
      <c r="D45" s="13"/>
      <c r="E45" s="13"/>
      <c r="F45" s="84"/>
      <c r="G45" s="84"/>
      <c r="H45" s="87"/>
      <c r="I45" s="13"/>
      <c r="J45" s="13"/>
      <c r="K45" s="13"/>
      <c r="L45" s="80"/>
      <c r="M45" s="83"/>
      <c r="N45" s="80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hidden="1">
      <c r="A46" s="13"/>
      <c r="B46" s="13"/>
      <c r="C46" s="13"/>
      <c r="D46" s="13"/>
      <c r="E46" s="13"/>
      <c r="F46" s="84"/>
      <c r="G46" s="84"/>
      <c r="H46" s="13"/>
      <c r="I46" s="13"/>
      <c r="J46" s="13"/>
      <c r="K46" s="13"/>
      <c r="L46" s="80"/>
      <c r="M46" s="83"/>
      <c r="N46" s="80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hidden="1">
      <c r="A47" s="13"/>
      <c r="B47" s="13"/>
      <c r="C47" s="13"/>
      <c r="D47" s="13"/>
      <c r="E47" s="13"/>
      <c r="F47" s="84"/>
      <c r="G47" s="84"/>
      <c r="H47" s="13"/>
      <c r="I47" s="13"/>
      <c r="J47" s="13"/>
      <c r="K47" s="13"/>
      <c r="L47" s="80"/>
      <c r="M47" s="83"/>
      <c r="N47" s="80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hidden="1">
      <c r="A48" s="88"/>
      <c r="B48" s="88"/>
      <c r="C48" s="88"/>
      <c r="D48" s="88"/>
      <c r="E48" s="13"/>
      <c r="F48" s="78"/>
      <c r="G48" s="78"/>
      <c r="H48" s="13"/>
      <c r="I48" s="89"/>
      <c r="J48" s="13"/>
      <c r="K48" s="13"/>
      <c r="L48" s="80"/>
      <c r="M48" s="83"/>
      <c r="N48" s="80"/>
      <c r="O48" s="11"/>
      <c r="P48" s="11"/>
      <c r="Q48" s="11"/>
      <c r="R48" s="11"/>
      <c r="S48" s="11"/>
      <c r="T48" s="11"/>
      <c r="U48" s="11"/>
      <c r="V48" s="11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hidden="1">
      <c r="A49" s="88"/>
      <c r="B49" s="88"/>
      <c r="C49" s="88"/>
      <c r="D49" s="88"/>
      <c r="E49" s="13" t="s">
        <v>44</v>
      </c>
      <c r="F49" s="78"/>
      <c r="G49" s="78"/>
      <c r="H49" s="13"/>
      <c r="I49" s="13"/>
      <c r="J49" s="13"/>
      <c r="K49" s="13"/>
      <c r="M49" s="86"/>
      <c r="N49" s="80"/>
      <c r="O49" s="11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hidden="1">
      <c r="A50" s="88"/>
      <c r="B50" s="88"/>
      <c r="C50" s="88"/>
      <c r="D50" s="90">
        <v>0.037</v>
      </c>
      <c r="E50" s="13" t="s">
        <v>45</v>
      </c>
      <c r="F50" s="78"/>
      <c r="G50" s="78"/>
      <c r="H50" s="13"/>
      <c r="I50" s="13"/>
      <c r="J50" s="13"/>
      <c r="K50" s="13"/>
      <c r="M50" s="86"/>
      <c r="N50" s="80"/>
      <c r="O50" s="11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hidden="1">
      <c r="A51" s="88"/>
      <c r="B51" s="88"/>
      <c r="C51" s="88"/>
      <c r="D51" s="88"/>
      <c r="E51" s="80" t="s">
        <v>46</v>
      </c>
      <c r="F51" s="78"/>
      <c r="G51" s="78"/>
      <c r="H51" s="13"/>
      <c r="I51" s="13"/>
      <c r="J51" s="13"/>
      <c r="K51" s="13"/>
      <c r="M51" s="86"/>
      <c r="N51" s="80"/>
      <c r="O51" s="11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hidden="1">
      <c r="A52" s="88"/>
      <c r="B52" s="88"/>
      <c r="C52" s="88"/>
      <c r="D52" s="90">
        <v>0.06</v>
      </c>
      <c r="E52" s="80" t="s">
        <v>47</v>
      </c>
      <c r="F52" s="78"/>
      <c r="G52" s="78"/>
      <c r="H52" s="13"/>
      <c r="I52" s="13"/>
      <c r="J52" s="13"/>
      <c r="K52" s="13"/>
      <c r="M52" s="86"/>
      <c r="N52" s="80"/>
      <c r="O52" s="11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hidden="1">
      <c r="A53" s="88"/>
      <c r="B53" s="88"/>
      <c r="C53" s="88"/>
      <c r="D53" s="90">
        <v>0.17</v>
      </c>
      <c r="E53" s="13" t="s">
        <v>48</v>
      </c>
      <c r="F53" s="78"/>
      <c r="G53" s="78"/>
      <c r="H53" s="13"/>
      <c r="I53" s="13"/>
      <c r="J53" s="13"/>
      <c r="K53" s="13"/>
      <c r="M53" s="86"/>
      <c r="N53" s="80"/>
      <c r="O53" s="11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50"/>
      <c r="AH53" s="13"/>
      <c r="AI53" s="13"/>
    </row>
    <row r="54" hidden="1">
      <c r="A54" s="88"/>
      <c r="B54" s="88"/>
      <c r="C54" s="88"/>
      <c r="D54" s="90">
        <v>0.12</v>
      </c>
      <c r="E54" s="80" t="s">
        <v>49</v>
      </c>
      <c r="F54" s="78"/>
      <c r="G54" s="78"/>
      <c r="H54" s="13"/>
      <c r="I54" s="13"/>
      <c r="J54" s="13"/>
      <c r="K54" s="13"/>
      <c r="M54" s="86"/>
      <c r="N54" s="80"/>
      <c r="O54" s="11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50"/>
      <c r="AH54" s="13"/>
      <c r="AI54" s="13"/>
    </row>
    <row r="55" hidden="1">
      <c r="A55" s="88"/>
      <c r="B55" s="88"/>
      <c r="C55" s="88"/>
      <c r="D55" s="90">
        <v>1.0</v>
      </c>
      <c r="E55" s="80" t="s">
        <v>50</v>
      </c>
      <c r="F55" s="78"/>
      <c r="G55" s="78"/>
      <c r="H55" s="13"/>
      <c r="I55" s="13"/>
      <c r="J55" s="13"/>
      <c r="K55" s="13"/>
      <c r="M55" s="86"/>
      <c r="N55" s="80"/>
      <c r="O55" s="11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50"/>
      <c r="AH55" s="13"/>
      <c r="AI55" s="13"/>
    </row>
    <row r="56" hidden="1">
      <c r="A56" s="88"/>
      <c r="B56" s="88"/>
      <c r="C56" s="88"/>
      <c r="D56" s="90"/>
      <c r="E56" s="80" t="s">
        <v>51</v>
      </c>
      <c r="F56" s="78"/>
      <c r="G56" s="78"/>
      <c r="H56" s="13"/>
      <c r="I56" s="13"/>
      <c r="J56" s="13"/>
      <c r="K56" s="13"/>
      <c r="M56" s="86"/>
      <c r="N56" s="80"/>
      <c r="O56" s="11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50"/>
      <c r="AH56" s="13"/>
      <c r="AI56" s="13"/>
    </row>
    <row r="57" hidden="1">
      <c r="A57" s="88"/>
      <c r="B57" s="88"/>
      <c r="C57" s="88"/>
      <c r="D57" s="90">
        <v>0.24</v>
      </c>
      <c r="E57" s="13" t="s">
        <v>52</v>
      </c>
      <c r="F57" s="78"/>
      <c r="G57" s="78"/>
      <c r="H57" s="13"/>
      <c r="I57" s="13"/>
      <c r="J57" s="13"/>
      <c r="K57" s="13"/>
      <c r="M57" s="86"/>
      <c r="N57" s="80"/>
      <c r="O57" s="11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50"/>
      <c r="AH57" s="13"/>
      <c r="AI57" s="13"/>
    </row>
    <row r="58" hidden="1">
      <c r="A58" s="88"/>
      <c r="B58" s="88"/>
      <c r="C58" s="88"/>
      <c r="D58" s="88">
        <v>0.15</v>
      </c>
      <c r="E58" s="13" t="s">
        <v>53</v>
      </c>
      <c r="F58" s="78"/>
      <c r="G58" s="78"/>
      <c r="H58" s="13"/>
      <c r="I58" s="13"/>
      <c r="J58" s="13"/>
      <c r="K58" s="13"/>
      <c r="M58" s="86"/>
      <c r="N58" s="80"/>
      <c r="O58" s="11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50"/>
      <c r="AH58" s="13"/>
      <c r="AI58" s="13"/>
    </row>
    <row r="59" hidden="1">
      <c r="A59" s="90"/>
      <c r="B59" s="90"/>
      <c r="C59" s="90"/>
      <c r="D59" s="90">
        <v>0.25</v>
      </c>
      <c r="E59" s="13" t="s">
        <v>53</v>
      </c>
      <c r="F59" s="78"/>
      <c r="G59" s="78"/>
      <c r="H59" s="13"/>
      <c r="I59" s="13"/>
      <c r="J59" s="13"/>
      <c r="K59" s="13"/>
      <c r="M59" s="86"/>
      <c r="N59" s="80"/>
      <c r="O59" s="11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50"/>
      <c r="AH59" s="13"/>
      <c r="AI59" s="13"/>
    </row>
    <row r="60" hidden="1">
      <c r="A60" s="90"/>
      <c r="B60" s="90"/>
      <c r="C60" s="90"/>
      <c r="D60" s="90">
        <v>1.0</v>
      </c>
      <c r="E60" s="80" t="s">
        <v>24</v>
      </c>
      <c r="F60" s="78"/>
      <c r="G60" s="78"/>
      <c r="H60" s="13"/>
      <c r="I60" s="13"/>
      <c r="J60" s="13"/>
      <c r="K60" s="13"/>
      <c r="M60" s="86"/>
      <c r="N60" s="80"/>
      <c r="O60" s="11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50"/>
      <c r="AH60" s="13"/>
      <c r="AI60" s="13"/>
    </row>
    <row r="61" hidden="1">
      <c r="A61" s="90"/>
      <c r="B61" s="90"/>
      <c r="C61" s="90"/>
      <c r="D61" s="90">
        <v>1.0</v>
      </c>
      <c r="E61" s="80" t="s">
        <v>54</v>
      </c>
      <c r="F61" s="78"/>
      <c r="G61" s="78"/>
      <c r="H61" s="13"/>
      <c r="I61" s="13"/>
      <c r="J61" s="13"/>
      <c r="K61" s="13"/>
      <c r="M61" s="86"/>
      <c r="N61" s="80"/>
      <c r="O61" s="11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50"/>
      <c r="AH61" s="13"/>
      <c r="AI61" s="13"/>
    </row>
    <row r="62" hidden="1">
      <c r="A62" s="90"/>
      <c r="B62" s="90"/>
      <c r="C62" s="90"/>
      <c r="D62" s="90">
        <v>1.0</v>
      </c>
      <c r="E62" s="80" t="s">
        <v>26</v>
      </c>
      <c r="F62" s="78"/>
      <c r="G62" s="78"/>
      <c r="H62" s="13"/>
      <c r="I62" s="13"/>
      <c r="J62" s="13"/>
      <c r="K62" s="13"/>
      <c r="M62" s="86"/>
      <c r="N62" s="80"/>
      <c r="O62" s="11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50"/>
      <c r="AH62" s="13"/>
      <c r="AI62" s="13"/>
    </row>
    <row r="63" hidden="1">
      <c r="A63" s="90"/>
      <c r="B63" s="90"/>
      <c r="C63" s="90"/>
      <c r="D63" s="80">
        <v>0.0</v>
      </c>
      <c r="E63" s="80" t="s">
        <v>55</v>
      </c>
      <c r="F63" s="78"/>
      <c r="G63" s="78"/>
      <c r="H63" s="13"/>
      <c r="I63" s="13"/>
      <c r="J63" s="13"/>
      <c r="K63" s="13"/>
      <c r="M63" s="86"/>
      <c r="N63" s="80"/>
      <c r="O63" s="11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50"/>
      <c r="AH63" s="13"/>
      <c r="AI63" s="13"/>
    </row>
    <row r="64" hidden="1">
      <c r="A64" s="90"/>
      <c r="B64" s="90"/>
      <c r="C64" s="90"/>
      <c r="D64" s="90">
        <v>1.0</v>
      </c>
      <c r="E64" s="80" t="s">
        <v>56</v>
      </c>
      <c r="F64" s="78"/>
      <c r="G64" s="78"/>
      <c r="H64" s="13"/>
      <c r="I64" s="13"/>
      <c r="J64" s="13"/>
      <c r="K64" s="13"/>
      <c r="M64" s="86"/>
      <c r="N64" s="80"/>
      <c r="O64" s="11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50"/>
      <c r="AH64" s="13"/>
      <c r="AI64" s="13"/>
    </row>
    <row r="65" hidden="1">
      <c r="A65" s="90"/>
      <c r="B65" s="90"/>
      <c r="C65" s="90"/>
      <c r="D65" s="90">
        <v>1.0</v>
      </c>
      <c r="E65" s="80" t="s">
        <v>57</v>
      </c>
      <c r="F65" s="78"/>
      <c r="G65" s="78"/>
      <c r="H65" s="13"/>
      <c r="I65" s="13"/>
      <c r="J65" s="13"/>
      <c r="K65" s="13"/>
      <c r="M65" s="86"/>
      <c r="N65" s="80"/>
      <c r="O65" s="11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50"/>
      <c r="AH65" s="13"/>
      <c r="AI65" s="13"/>
    </row>
    <row r="66" hidden="1">
      <c r="A66" s="88"/>
      <c r="B66" s="88"/>
      <c r="C66" s="88"/>
      <c r="D66" s="90">
        <v>1.0</v>
      </c>
      <c r="E66" s="91" t="s">
        <v>58</v>
      </c>
      <c r="F66" s="78"/>
      <c r="G66" s="78"/>
      <c r="H66" s="13"/>
      <c r="I66" s="13"/>
      <c r="J66" s="13"/>
      <c r="K66" s="13"/>
      <c r="M66" s="86"/>
      <c r="N66" s="80"/>
      <c r="O66" s="11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50"/>
      <c r="AH66" s="13"/>
      <c r="AI66" s="13"/>
    </row>
    <row r="67" hidden="1">
      <c r="A67" s="88"/>
      <c r="B67" s="88"/>
      <c r="C67" s="88"/>
      <c r="D67" s="90"/>
      <c r="E67" s="92" t="s">
        <v>59</v>
      </c>
      <c r="F67" s="78"/>
      <c r="G67" s="78"/>
      <c r="H67" s="13"/>
      <c r="I67" s="13"/>
      <c r="J67" s="13"/>
      <c r="K67" s="13"/>
      <c r="M67" s="86"/>
      <c r="N67" s="80"/>
      <c r="O67" s="11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50"/>
      <c r="AH67" s="13"/>
      <c r="AI67" s="13"/>
    </row>
    <row r="68" hidden="1">
      <c r="A68" s="88"/>
      <c r="B68" s="88"/>
      <c r="C68" s="88"/>
      <c r="D68" s="90"/>
      <c r="E68" s="92" t="s">
        <v>60</v>
      </c>
      <c r="F68" s="78"/>
      <c r="G68" s="78"/>
      <c r="H68" s="13"/>
      <c r="I68" s="13"/>
      <c r="J68" s="13"/>
      <c r="K68" s="13"/>
      <c r="M68" s="86"/>
      <c r="N68" s="80"/>
      <c r="O68" s="11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50"/>
      <c r="AH68" s="13"/>
      <c r="AI68" s="13"/>
    </row>
    <row r="69" hidden="1">
      <c r="A69" s="88"/>
      <c r="B69" s="88"/>
      <c r="C69" s="88"/>
      <c r="D69" s="90">
        <v>1.0</v>
      </c>
      <c r="E69" s="80" t="s">
        <v>61</v>
      </c>
      <c r="F69" s="78"/>
      <c r="G69" s="78"/>
      <c r="H69" s="13"/>
      <c r="I69" s="13"/>
      <c r="J69" s="13"/>
      <c r="K69" s="13"/>
      <c r="M69" s="86"/>
      <c r="N69" s="80"/>
      <c r="O69" s="11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50"/>
      <c r="AH69" s="13"/>
      <c r="AI69" s="13"/>
    </row>
    <row r="70" hidden="1">
      <c r="A70" s="88"/>
      <c r="B70" s="88"/>
      <c r="C70" s="88"/>
      <c r="D70" s="90"/>
      <c r="E70" s="80" t="s">
        <v>62</v>
      </c>
      <c r="F70" s="78"/>
      <c r="G70" s="78"/>
      <c r="H70" s="13"/>
      <c r="I70" s="13"/>
      <c r="J70" s="13"/>
      <c r="K70" s="13"/>
      <c r="M70" s="86"/>
      <c r="N70" s="80"/>
      <c r="O70" s="11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50"/>
      <c r="AH70" s="13"/>
      <c r="AI70" s="13"/>
    </row>
    <row r="71" hidden="1">
      <c r="A71" s="88"/>
      <c r="B71" s="88"/>
      <c r="C71" s="88"/>
      <c r="D71" s="90"/>
      <c r="E71" s="80" t="s">
        <v>63</v>
      </c>
      <c r="F71" s="78"/>
      <c r="G71" s="78"/>
      <c r="H71" s="13"/>
      <c r="I71" s="13"/>
      <c r="J71" s="13"/>
      <c r="K71" s="13"/>
      <c r="M71" s="86"/>
      <c r="N71" s="80"/>
      <c r="O71" s="11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50"/>
      <c r="AH71" s="13"/>
      <c r="AI71" s="13"/>
    </row>
    <row r="72" hidden="1">
      <c r="A72" s="88"/>
      <c r="B72" s="88"/>
      <c r="C72" s="88"/>
      <c r="D72" s="90"/>
      <c r="E72" s="80" t="s">
        <v>64</v>
      </c>
      <c r="F72" s="78"/>
      <c r="G72" s="78"/>
      <c r="H72" s="13"/>
      <c r="I72" s="13"/>
      <c r="J72" s="13"/>
      <c r="K72" s="13"/>
      <c r="M72" s="86"/>
      <c r="N72" s="80"/>
      <c r="O72" s="11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50"/>
      <c r="AH72" s="13"/>
      <c r="AI72" s="13"/>
    </row>
    <row r="73" hidden="1">
      <c r="A73" s="88"/>
      <c r="B73" s="88"/>
      <c r="C73" s="88"/>
      <c r="D73" s="90">
        <v>0.2</v>
      </c>
      <c r="E73" s="80" t="s">
        <v>65</v>
      </c>
      <c r="F73" s="78"/>
      <c r="G73" s="78"/>
      <c r="H73" s="13"/>
      <c r="I73" s="13"/>
      <c r="J73" s="13"/>
      <c r="K73" s="13"/>
      <c r="M73" s="86"/>
      <c r="N73" s="80"/>
      <c r="O73" s="11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50"/>
      <c r="AH73" s="13"/>
      <c r="AI73" s="13"/>
    </row>
    <row r="74" hidden="1">
      <c r="A74" s="88"/>
      <c r="B74" s="88"/>
      <c r="C74" s="88"/>
      <c r="D74" s="90">
        <v>0.09</v>
      </c>
      <c r="E74" s="80" t="s">
        <v>66</v>
      </c>
      <c r="F74" s="78"/>
      <c r="G74" s="78"/>
      <c r="H74" s="13"/>
      <c r="I74" s="13"/>
      <c r="J74" s="13"/>
      <c r="K74" s="13"/>
      <c r="M74" s="86"/>
      <c r="N74" s="80"/>
      <c r="O74" s="11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50"/>
      <c r="AH74" s="13"/>
      <c r="AI74" s="13"/>
    </row>
    <row r="75" hidden="1">
      <c r="A75" s="88"/>
      <c r="B75" s="88"/>
      <c r="C75" s="88"/>
      <c r="D75" s="90">
        <v>0.2</v>
      </c>
      <c r="E75" s="80" t="s">
        <v>67</v>
      </c>
      <c r="F75" s="78"/>
      <c r="G75" s="78"/>
      <c r="H75" s="13"/>
      <c r="I75" s="13"/>
      <c r="J75" s="13"/>
      <c r="K75" s="13"/>
      <c r="M75" s="86"/>
      <c r="N75" s="80"/>
      <c r="O75" s="11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50"/>
      <c r="AH75" s="13"/>
      <c r="AI75" s="13"/>
    </row>
    <row r="76" hidden="1">
      <c r="A76" s="88"/>
      <c r="B76" s="88"/>
      <c r="C76" s="88"/>
      <c r="D76" s="90">
        <v>0.2</v>
      </c>
      <c r="E76" s="80" t="s">
        <v>68</v>
      </c>
      <c r="F76" s="78"/>
      <c r="G76" s="78"/>
      <c r="H76" s="13"/>
      <c r="I76" s="13"/>
      <c r="J76" s="13"/>
      <c r="K76" s="13"/>
      <c r="M76" s="86"/>
      <c r="N76" s="80"/>
      <c r="O76" s="11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50"/>
      <c r="AH76" s="13"/>
      <c r="AI76" s="13"/>
    </row>
    <row r="77" hidden="1">
      <c r="A77" s="88"/>
      <c r="B77" s="88"/>
      <c r="C77" s="88"/>
      <c r="D77" s="90">
        <v>1.0</v>
      </c>
      <c r="E77" s="80" t="s">
        <v>69</v>
      </c>
      <c r="F77" s="78"/>
      <c r="G77" s="78"/>
      <c r="H77" s="13"/>
      <c r="I77" s="13"/>
      <c r="J77" s="13"/>
      <c r="K77" s="13"/>
      <c r="M77" s="86"/>
      <c r="N77" s="80"/>
      <c r="O77" s="11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50"/>
      <c r="AH77" s="13"/>
      <c r="AI77" s="13"/>
    </row>
    <row r="78" hidden="1">
      <c r="A78" s="88"/>
      <c r="B78" s="88"/>
      <c r="C78" s="88"/>
      <c r="D78" s="90">
        <v>0.35</v>
      </c>
      <c r="E78" s="80" t="s">
        <v>70</v>
      </c>
      <c r="F78" s="78"/>
      <c r="G78" s="78"/>
      <c r="H78" s="13"/>
      <c r="I78" s="13"/>
      <c r="J78" s="13"/>
      <c r="K78" s="13"/>
      <c r="M78" s="86"/>
      <c r="N78" s="80"/>
      <c r="O78" s="11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50"/>
      <c r="AH78" s="13"/>
      <c r="AI78" s="13"/>
    </row>
    <row r="79" hidden="1">
      <c r="A79" s="88"/>
      <c r="B79" s="88"/>
      <c r="C79" s="88"/>
      <c r="D79" s="90"/>
      <c r="E79" s="80" t="s">
        <v>71</v>
      </c>
      <c r="F79" s="78"/>
      <c r="G79" s="78"/>
      <c r="H79" s="13"/>
      <c r="I79" s="13"/>
      <c r="J79" s="13"/>
      <c r="K79" s="13"/>
      <c r="M79" s="86"/>
      <c r="N79" s="80"/>
      <c r="O79" s="11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50"/>
      <c r="AH79" s="13"/>
      <c r="AI79" s="13"/>
    </row>
    <row r="80" hidden="1">
      <c r="A80" s="88"/>
      <c r="B80" s="88"/>
      <c r="C80" s="88"/>
      <c r="D80" s="90">
        <v>0.1</v>
      </c>
      <c r="E80" s="80" t="s">
        <v>72</v>
      </c>
      <c r="F80" s="78"/>
      <c r="G80" s="78"/>
      <c r="H80" s="13"/>
      <c r="I80" s="13"/>
      <c r="J80" s="13"/>
      <c r="K80" s="13"/>
      <c r="M80" s="86"/>
      <c r="N80" s="80"/>
      <c r="O80" s="11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50"/>
      <c r="AH80" s="13"/>
      <c r="AI80" s="13"/>
    </row>
    <row r="81" hidden="1">
      <c r="A81" s="88"/>
      <c r="B81" s="88"/>
      <c r="C81" s="88"/>
      <c r="D81" s="90">
        <v>1.0</v>
      </c>
      <c r="E81" s="80" t="s">
        <v>33</v>
      </c>
      <c r="F81" s="78"/>
      <c r="G81" s="78"/>
      <c r="H81" s="13"/>
      <c r="I81" s="13"/>
      <c r="J81" s="13"/>
      <c r="K81" s="13"/>
      <c r="M81" s="86"/>
      <c r="N81" s="80"/>
      <c r="O81" s="11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50"/>
      <c r="AH81" s="13"/>
      <c r="AI81" s="13"/>
    </row>
    <row r="82" hidden="1">
      <c r="A82" s="88"/>
      <c r="B82" s="88"/>
      <c r="C82" s="88"/>
      <c r="D82" s="90">
        <v>0.1</v>
      </c>
      <c r="E82" s="80" t="s">
        <v>73</v>
      </c>
      <c r="F82" s="78"/>
      <c r="G82" s="78"/>
      <c r="H82" s="13"/>
      <c r="I82" s="13"/>
      <c r="J82" s="13"/>
      <c r="K82" s="13"/>
      <c r="M82" s="86"/>
      <c r="N82" s="80"/>
      <c r="O82" s="11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50"/>
      <c r="AH82" s="13"/>
      <c r="AI82" s="13"/>
    </row>
    <row r="83" hidden="1">
      <c r="A83" s="88"/>
      <c r="B83" s="88"/>
      <c r="C83" s="88"/>
      <c r="D83" s="90">
        <v>1.0</v>
      </c>
      <c r="E83" s="80" t="s">
        <v>74</v>
      </c>
      <c r="F83" s="78"/>
      <c r="G83" s="78"/>
      <c r="H83" s="13"/>
      <c r="I83" s="13"/>
      <c r="J83" s="13"/>
      <c r="K83" s="13"/>
      <c r="M83" s="86"/>
      <c r="N83" s="80"/>
      <c r="O83" s="11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50"/>
      <c r="AH83" s="13"/>
      <c r="AI83" s="13"/>
    </row>
    <row r="84" hidden="1">
      <c r="A84" s="88"/>
      <c r="B84" s="88"/>
      <c r="C84" s="88"/>
      <c r="D84" s="90">
        <v>1.0</v>
      </c>
      <c r="E84" s="80" t="s">
        <v>75</v>
      </c>
      <c r="F84" s="78"/>
      <c r="G84" s="78"/>
      <c r="H84" s="13"/>
      <c r="I84" s="13"/>
      <c r="J84" s="13"/>
      <c r="K84" s="13"/>
      <c r="M84" s="86"/>
      <c r="N84" s="80"/>
      <c r="O84" s="11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50"/>
      <c r="AH84" s="13"/>
      <c r="AI84" s="13"/>
    </row>
    <row r="85" hidden="1">
      <c r="A85" s="88"/>
      <c r="B85" s="88"/>
      <c r="C85" s="88"/>
      <c r="D85" s="90">
        <v>0.4</v>
      </c>
      <c r="E85" s="80" t="s">
        <v>76</v>
      </c>
      <c r="F85" s="78"/>
      <c r="G85" s="78"/>
      <c r="H85" s="13"/>
      <c r="I85" s="13"/>
      <c r="J85" s="13"/>
      <c r="K85" s="13"/>
      <c r="M85" s="86"/>
      <c r="N85" s="80"/>
      <c r="O85" s="11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50"/>
      <c r="AH85" s="13"/>
      <c r="AI85" s="13"/>
    </row>
    <row r="86" hidden="1">
      <c r="A86" s="88"/>
      <c r="B86" s="88"/>
      <c r="C86" s="88"/>
      <c r="D86" s="90">
        <v>0.2</v>
      </c>
      <c r="E86" s="80" t="s">
        <v>77</v>
      </c>
      <c r="F86" s="78"/>
      <c r="G86" s="78"/>
      <c r="H86" s="13"/>
      <c r="I86" s="13"/>
      <c r="J86" s="13"/>
      <c r="K86" s="13"/>
      <c r="M86" s="86"/>
      <c r="N86" s="80"/>
      <c r="O86" s="11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50"/>
      <c r="AH86" s="13"/>
      <c r="AI86" s="13"/>
    </row>
    <row r="87" hidden="1">
      <c r="A87" s="88"/>
      <c r="B87" s="88"/>
      <c r="C87" s="88"/>
      <c r="D87" s="90">
        <v>0.19</v>
      </c>
      <c r="E87" s="80" t="s">
        <v>78</v>
      </c>
      <c r="F87" s="78"/>
      <c r="G87" s="78"/>
      <c r="H87" s="13"/>
      <c r="I87" s="13"/>
      <c r="J87" s="13"/>
      <c r="K87" s="13"/>
      <c r="M87" s="86"/>
      <c r="N87" s="80"/>
      <c r="O87" s="11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50"/>
      <c r="AH87" s="13"/>
      <c r="AI87" s="13"/>
    </row>
    <row r="88" hidden="1">
      <c r="A88" s="88"/>
      <c r="B88" s="88"/>
      <c r="C88" s="88"/>
      <c r="D88" s="90">
        <v>1.0</v>
      </c>
      <c r="E88" s="80" t="s">
        <v>79</v>
      </c>
      <c r="F88" s="78"/>
      <c r="G88" s="78"/>
      <c r="H88" s="13"/>
      <c r="I88" s="13"/>
      <c r="J88" s="13"/>
      <c r="K88" s="13"/>
      <c r="M88" s="86"/>
      <c r="N88" s="80"/>
      <c r="O88" s="11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50"/>
      <c r="AH88" s="13"/>
      <c r="AI88" s="13"/>
    </row>
    <row r="89" hidden="1">
      <c r="A89" s="88"/>
      <c r="B89" s="88"/>
      <c r="C89" s="88"/>
      <c r="D89" s="80">
        <v>0.0</v>
      </c>
      <c r="E89" s="80" t="s">
        <v>80</v>
      </c>
      <c r="F89" s="78"/>
      <c r="G89" s="78"/>
      <c r="H89" s="13"/>
      <c r="I89" s="13"/>
      <c r="J89" s="13"/>
      <c r="K89" s="13"/>
      <c r="M89" s="86"/>
      <c r="N89" s="80"/>
      <c r="O89" s="11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50"/>
      <c r="AH89" s="13"/>
      <c r="AI89" s="13"/>
    </row>
    <row r="90" hidden="1">
      <c r="A90" s="88"/>
      <c r="B90" s="88"/>
      <c r="C90" s="88"/>
      <c r="D90" s="90">
        <v>1.0</v>
      </c>
      <c r="E90" s="80" t="s">
        <v>81</v>
      </c>
      <c r="F90" s="78"/>
      <c r="G90" s="78"/>
      <c r="H90" s="13"/>
      <c r="I90" s="13"/>
      <c r="J90" s="13"/>
      <c r="K90" s="13"/>
      <c r="M90" s="86"/>
      <c r="N90" s="80"/>
      <c r="O90" s="11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50"/>
      <c r="AH90" s="13"/>
      <c r="AI90" s="13"/>
    </row>
    <row r="91" hidden="1">
      <c r="A91" s="88"/>
      <c r="B91" s="88"/>
      <c r="C91" s="88"/>
      <c r="D91" s="90">
        <v>1.0</v>
      </c>
      <c r="E91" s="80" t="s">
        <v>82</v>
      </c>
      <c r="F91" s="78"/>
      <c r="G91" s="78"/>
      <c r="H91" s="13"/>
      <c r="I91" s="13"/>
      <c r="J91" s="13"/>
      <c r="K91" s="13"/>
      <c r="M91" s="86"/>
      <c r="N91" s="80"/>
      <c r="O91" s="11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50"/>
      <c r="AH91" s="13"/>
      <c r="AI91" s="13"/>
    </row>
    <row r="92" hidden="1">
      <c r="A92" s="88"/>
      <c r="B92" s="88"/>
      <c r="C92" s="88"/>
      <c r="D92" s="90">
        <v>1.0</v>
      </c>
      <c r="E92" s="80" t="s">
        <v>61</v>
      </c>
      <c r="F92" s="78"/>
      <c r="G92" s="78"/>
      <c r="H92" s="13"/>
      <c r="I92" s="13"/>
      <c r="J92" s="13"/>
      <c r="K92" s="13"/>
      <c r="M92" s="86"/>
      <c r="N92" s="80"/>
      <c r="O92" s="11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50"/>
      <c r="AH92" s="13"/>
      <c r="AI92" s="13"/>
    </row>
    <row r="93" hidden="1">
      <c r="A93" s="88"/>
      <c r="B93" s="88"/>
      <c r="C93" s="88"/>
      <c r="D93" s="90">
        <v>1.0</v>
      </c>
      <c r="E93" s="80" t="s">
        <v>83</v>
      </c>
      <c r="F93" s="78"/>
      <c r="G93" s="78"/>
      <c r="H93" s="13"/>
      <c r="I93" s="13"/>
      <c r="J93" s="13"/>
      <c r="K93" s="13"/>
      <c r="M93" s="86"/>
      <c r="N93" s="80"/>
      <c r="O93" s="11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50"/>
      <c r="AH93" s="13"/>
      <c r="AI93" s="13"/>
    </row>
    <row r="94" hidden="1">
      <c r="A94" s="88"/>
      <c r="B94" s="88"/>
      <c r="C94" s="88"/>
      <c r="D94" s="90">
        <v>1.0</v>
      </c>
      <c r="E94" s="80" t="s">
        <v>84</v>
      </c>
      <c r="F94" s="78"/>
      <c r="G94" s="78"/>
      <c r="H94" s="13"/>
      <c r="I94" s="13"/>
      <c r="J94" s="13"/>
      <c r="K94" s="13"/>
      <c r="M94" s="86"/>
      <c r="N94" s="80"/>
      <c r="O94" s="11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50"/>
      <c r="AH94" s="13"/>
      <c r="AI94" s="13"/>
    </row>
    <row r="95" hidden="1">
      <c r="A95" s="88"/>
      <c r="B95" s="88"/>
      <c r="C95" s="88"/>
      <c r="D95" s="90">
        <v>0.07</v>
      </c>
      <c r="E95" s="80" t="s">
        <v>85</v>
      </c>
      <c r="F95" s="78"/>
      <c r="G95" s="78"/>
      <c r="H95" s="13"/>
      <c r="I95" s="13"/>
      <c r="J95" s="13"/>
      <c r="K95" s="13"/>
      <c r="M95" s="86"/>
      <c r="N95" s="80"/>
      <c r="O95" s="11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50"/>
      <c r="AH95" s="13"/>
      <c r="AI95" s="13"/>
    </row>
    <row r="96" hidden="1">
      <c r="A96" s="88"/>
      <c r="B96" s="88"/>
      <c r="C96" s="88"/>
      <c r="D96" s="90">
        <v>1.0</v>
      </c>
      <c r="E96" s="80" t="s">
        <v>86</v>
      </c>
      <c r="F96" s="78"/>
      <c r="G96" s="78"/>
      <c r="H96" s="13"/>
      <c r="I96" s="13"/>
      <c r="J96" s="13"/>
      <c r="K96" s="13"/>
      <c r="M96" s="86"/>
      <c r="N96" s="80"/>
      <c r="O96" s="11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50"/>
      <c r="AH96" s="13"/>
      <c r="AI96" s="13"/>
    </row>
    <row r="97" hidden="1">
      <c r="A97" s="88"/>
      <c r="B97" s="88"/>
      <c r="C97" s="88"/>
      <c r="D97" s="90">
        <v>0.22</v>
      </c>
      <c r="E97" s="80" t="s">
        <v>87</v>
      </c>
      <c r="F97" s="78"/>
      <c r="G97" s="78"/>
      <c r="H97" s="13"/>
      <c r="I97" s="13"/>
      <c r="J97" s="13"/>
      <c r="K97" s="13"/>
      <c r="M97" s="86"/>
      <c r="N97" s="80"/>
      <c r="O97" s="11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50"/>
      <c r="AH97" s="13"/>
      <c r="AI97" s="13"/>
    </row>
    <row r="98" hidden="1">
      <c r="A98" s="88"/>
      <c r="B98" s="88"/>
      <c r="C98" s="88"/>
      <c r="D98" s="90">
        <v>1.0</v>
      </c>
      <c r="E98" s="80" t="s">
        <v>88</v>
      </c>
      <c r="F98" s="78"/>
      <c r="G98" s="78"/>
      <c r="H98" s="13"/>
      <c r="I98" s="13"/>
      <c r="J98" s="13"/>
      <c r="K98" s="13"/>
      <c r="M98" s="86"/>
      <c r="N98" s="80"/>
      <c r="O98" s="11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50"/>
      <c r="AH98" s="13"/>
      <c r="AI98" s="13"/>
    </row>
    <row r="99" hidden="1">
      <c r="A99" s="88"/>
      <c r="B99" s="88"/>
      <c r="C99" s="88"/>
      <c r="D99" s="90">
        <v>1.0</v>
      </c>
      <c r="E99" s="80" t="s">
        <v>89</v>
      </c>
      <c r="F99" s="78"/>
      <c r="G99" s="78"/>
      <c r="H99" s="13"/>
      <c r="I99" s="13"/>
      <c r="J99" s="13"/>
      <c r="K99" s="13"/>
      <c r="M99" s="86"/>
      <c r="N99" s="80"/>
      <c r="O99" s="11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50"/>
      <c r="AH99" s="13"/>
      <c r="AI99" s="13"/>
    </row>
    <row r="100" hidden="1">
      <c r="A100" s="88"/>
      <c r="B100" s="88"/>
      <c r="C100" s="88"/>
      <c r="D100" s="90">
        <v>1.0</v>
      </c>
      <c r="E100" s="80" t="s">
        <v>90</v>
      </c>
      <c r="F100" s="78"/>
      <c r="G100" s="78"/>
      <c r="H100" s="13"/>
      <c r="I100" s="13"/>
      <c r="J100" s="13"/>
      <c r="K100" s="13"/>
      <c r="M100" s="86"/>
      <c r="N100" s="80"/>
      <c r="O100" s="11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50"/>
      <c r="AH100" s="13"/>
      <c r="AI100" s="13"/>
    </row>
    <row r="101" hidden="1">
      <c r="A101" s="88"/>
      <c r="B101" s="88"/>
      <c r="C101" s="88"/>
      <c r="D101" s="90"/>
      <c r="E101" s="80" t="s">
        <v>91</v>
      </c>
      <c r="F101" s="78"/>
      <c r="G101" s="78"/>
      <c r="H101" s="13"/>
      <c r="I101" s="13"/>
      <c r="J101" s="13"/>
      <c r="K101" s="13"/>
      <c r="M101" s="86"/>
      <c r="N101" s="80"/>
      <c r="O101" s="11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50"/>
      <c r="AH101" s="13"/>
      <c r="AI101" s="13"/>
    </row>
    <row r="102" hidden="1">
      <c r="A102" s="88"/>
      <c r="B102" s="88"/>
      <c r="C102" s="88"/>
      <c r="D102" s="90">
        <v>1.0</v>
      </c>
      <c r="E102" s="80" t="s">
        <v>92</v>
      </c>
      <c r="F102" s="78"/>
      <c r="G102" s="78"/>
      <c r="H102" s="13"/>
      <c r="I102" s="13"/>
      <c r="J102" s="13"/>
      <c r="K102" s="13"/>
      <c r="M102" s="86"/>
      <c r="N102" s="80"/>
      <c r="O102" s="11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50"/>
      <c r="AH102" s="13"/>
      <c r="AI102" s="13"/>
    </row>
    <row r="103" hidden="1">
      <c r="A103" s="88"/>
      <c r="B103" s="88"/>
      <c r="C103" s="88"/>
      <c r="D103" s="90">
        <v>1.0</v>
      </c>
      <c r="E103" s="80" t="s">
        <v>93</v>
      </c>
      <c r="F103" s="78"/>
      <c r="G103" s="78"/>
      <c r="H103" s="13"/>
      <c r="I103" s="13"/>
      <c r="J103" s="13"/>
      <c r="K103" s="13"/>
      <c r="M103" s="86"/>
      <c r="N103" s="80"/>
      <c r="O103" s="11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50"/>
      <c r="AH103" s="13"/>
      <c r="AI103" s="13"/>
    </row>
    <row r="104" hidden="1">
      <c r="A104" s="88"/>
      <c r="B104" s="88"/>
      <c r="C104" s="88"/>
      <c r="D104" s="90">
        <v>1.0</v>
      </c>
      <c r="E104" s="80" t="s">
        <v>94</v>
      </c>
      <c r="F104" s="78"/>
      <c r="G104" s="78"/>
      <c r="H104" s="13"/>
      <c r="I104" s="13"/>
      <c r="J104" s="13"/>
      <c r="K104" s="13"/>
      <c r="M104" s="86"/>
      <c r="N104" s="80"/>
      <c r="O104" s="11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50"/>
      <c r="AH104" s="13"/>
      <c r="AI104" s="13"/>
    </row>
    <row r="105" hidden="1">
      <c r="A105" s="88"/>
      <c r="B105" s="88"/>
      <c r="C105" s="88"/>
      <c r="D105" s="90">
        <v>1.0</v>
      </c>
      <c r="E105" s="80" t="s">
        <v>95</v>
      </c>
      <c r="F105" s="78"/>
      <c r="G105" s="78"/>
      <c r="H105" s="13"/>
      <c r="I105" s="13"/>
      <c r="J105" s="13"/>
      <c r="K105" s="13"/>
      <c r="M105" s="86"/>
      <c r="N105" s="80"/>
      <c r="O105" s="11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50"/>
      <c r="AH105" s="13"/>
      <c r="AI105" s="13"/>
    </row>
    <row r="106" hidden="1">
      <c r="A106" s="88"/>
      <c r="B106" s="88"/>
      <c r="C106" s="88"/>
      <c r="D106" s="90">
        <v>1.0</v>
      </c>
      <c r="E106" s="80" t="s">
        <v>96</v>
      </c>
      <c r="F106" s="78"/>
      <c r="G106" s="78"/>
      <c r="H106" s="13"/>
      <c r="I106" s="13"/>
      <c r="J106" s="13"/>
      <c r="K106" s="13"/>
      <c r="M106" s="86"/>
      <c r="N106" s="80"/>
      <c r="O106" s="11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50"/>
      <c r="AH106" s="13"/>
      <c r="AI106" s="13"/>
    </row>
    <row r="107" hidden="1">
      <c r="A107" s="88"/>
      <c r="B107" s="88"/>
      <c r="C107" s="88"/>
      <c r="D107" s="90">
        <v>1.0</v>
      </c>
      <c r="E107" s="80" t="s">
        <v>97</v>
      </c>
      <c r="F107" s="78"/>
      <c r="G107" s="78"/>
      <c r="H107" s="13"/>
      <c r="I107" s="13"/>
      <c r="J107" s="13"/>
      <c r="K107" s="13"/>
      <c r="M107" s="86"/>
      <c r="N107" s="80"/>
      <c r="O107" s="11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50"/>
      <c r="AH107" s="13"/>
      <c r="AI107" s="13"/>
    </row>
    <row r="108" hidden="1">
      <c r="A108" s="88"/>
      <c r="B108" s="88"/>
      <c r="C108" s="88"/>
      <c r="D108" s="90">
        <v>1.0</v>
      </c>
      <c r="E108" s="80" t="s">
        <v>98</v>
      </c>
      <c r="F108" s="78"/>
      <c r="G108" s="78"/>
      <c r="H108" s="13"/>
      <c r="I108" s="13"/>
      <c r="J108" s="13"/>
      <c r="K108" s="13"/>
      <c r="M108" s="86"/>
      <c r="N108" s="80"/>
      <c r="O108" s="11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50"/>
      <c r="AH108" s="13"/>
      <c r="AI108" s="13"/>
    </row>
    <row r="109" hidden="1">
      <c r="A109" s="88"/>
      <c r="B109" s="88"/>
      <c r="C109" s="88"/>
      <c r="D109" s="90">
        <v>0.3</v>
      </c>
      <c r="E109" s="80" t="s">
        <v>99</v>
      </c>
      <c r="F109" s="78"/>
      <c r="G109" s="78"/>
      <c r="H109" s="13"/>
      <c r="I109" s="13"/>
      <c r="J109" s="13"/>
      <c r="K109" s="13"/>
      <c r="M109" s="86"/>
      <c r="N109" s="80"/>
      <c r="O109" s="11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50"/>
      <c r="AH109" s="13"/>
      <c r="AI109" s="13"/>
    </row>
    <row r="110" hidden="1">
      <c r="A110" s="88"/>
      <c r="B110" s="88"/>
      <c r="C110" s="88"/>
      <c r="D110" s="90"/>
      <c r="E110" s="80" t="s">
        <v>100</v>
      </c>
      <c r="F110" s="78"/>
      <c r="G110" s="78"/>
      <c r="H110" s="13"/>
      <c r="I110" s="13"/>
      <c r="J110" s="13"/>
      <c r="K110" s="13"/>
      <c r="M110" s="86"/>
      <c r="N110" s="80"/>
      <c r="O110" s="11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50"/>
      <c r="AH110" s="13"/>
      <c r="AI110" s="13"/>
    </row>
    <row r="111" hidden="1">
      <c r="A111" s="88"/>
      <c r="B111" s="88"/>
      <c r="C111" s="88"/>
      <c r="D111" s="90">
        <v>1.0</v>
      </c>
      <c r="E111" s="80" t="s">
        <v>62</v>
      </c>
      <c r="F111" s="78"/>
      <c r="G111" s="78"/>
      <c r="H111" s="13"/>
      <c r="I111" s="13"/>
      <c r="J111" s="13"/>
      <c r="K111" s="13"/>
      <c r="M111" s="86"/>
      <c r="N111" s="80"/>
      <c r="O111" s="11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50"/>
      <c r="AH111" s="13"/>
      <c r="AI111" s="13"/>
    </row>
    <row r="112" hidden="1">
      <c r="A112" s="88"/>
      <c r="B112" s="88"/>
      <c r="C112" s="88"/>
      <c r="D112" s="90">
        <v>1.0</v>
      </c>
      <c r="E112" s="80" t="s">
        <v>101</v>
      </c>
      <c r="F112" s="78"/>
      <c r="G112" s="78"/>
      <c r="H112" s="13"/>
      <c r="I112" s="13"/>
      <c r="J112" s="13"/>
      <c r="K112" s="13"/>
      <c r="M112" s="86"/>
      <c r="N112" s="80"/>
      <c r="O112" s="11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50"/>
      <c r="AH112" s="13"/>
      <c r="AI112" s="13"/>
    </row>
    <row r="113" hidden="1">
      <c r="A113" s="88"/>
      <c r="B113" s="88"/>
      <c r="C113" s="88"/>
      <c r="D113" s="90">
        <v>1.0</v>
      </c>
      <c r="E113" s="80" t="s">
        <v>102</v>
      </c>
      <c r="F113" s="78"/>
      <c r="G113" s="78"/>
      <c r="H113" s="13"/>
      <c r="I113" s="13"/>
      <c r="J113" s="13"/>
      <c r="K113" s="13"/>
      <c r="M113" s="86"/>
      <c r="N113" s="80"/>
      <c r="O113" s="11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50"/>
      <c r="AH113" s="13"/>
      <c r="AI113" s="13"/>
    </row>
    <row r="114" hidden="1">
      <c r="A114" s="88"/>
      <c r="B114" s="88"/>
      <c r="C114" s="88"/>
      <c r="D114" s="90">
        <v>0.21</v>
      </c>
      <c r="E114" s="80" t="s">
        <v>103</v>
      </c>
      <c r="F114" s="78"/>
      <c r="G114" s="78"/>
      <c r="H114" s="13"/>
      <c r="I114" s="13"/>
      <c r="J114" s="13"/>
      <c r="K114" s="13"/>
      <c r="M114" s="86"/>
      <c r="N114" s="80"/>
      <c r="O114" s="11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50"/>
      <c r="AH114" s="13"/>
      <c r="AI114" s="13"/>
    </row>
    <row r="115" hidden="1">
      <c r="A115" s="88"/>
      <c r="B115" s="88"/>
      <c r="C115" s="88"/>
      <c r="D115" s="90">
        <v>0.21</v>
      </c>
      <c r="E115" s="80" t="s">
        <v>104</v>
      </c>
      <c r="F115" s="78"/>
      <c r="G115" s="78"/>
      <c r="H115" s="13"/>
      <c r="I115" s="13"/>
      <c r="J115" s="13"/>
      <c r="K115" s="13"/>
      <c r="M115" s="86"/>
      <c r="N115" s="80"/>
      <c r="O115" s="11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50"/>
      <c r="AH115" s="13"/>
      <c r="AI115" s="13"/>
    </row>
    <row r="116" hidden="1">
      <c r="A116" s="88"/>
      <c r="B116" s="88"/>
      <c r="C116" s="88"/>
      <c r="D116" s="90">
        <v>0.19</v>
      </c>
      <c r="E116" s="80" t="s">
        <v>105</v>
      </c>
      <c r="F116" s="78"/>
      <c r="G116" s="78"/>
      <c r="H116" s="13"/>
      <c r="I116" s="13"/>
      <c r="J116" s="13"/>
      <c r="K116" s="13"/>
      <c r="M116" s="86"/>
      <c r="N116" s="80"/>
      <c r="O116" s="11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50"/>
      <c r="AH116" s="13"/>
      <c r="AI116" s="13"/>
    </row>
    <row r="117" hidden="1">
      <c r="A117" s="88"/>
      <c r="B117" s="88"/>
      <c r="C117" s="88"/>
      <c r="D117" s="90">
        <v>1.0</v>
      </c>
      <c r="E117" s="80" t="s">
        <v>106</v>
      </c>
      <c r="F117" s="78"/>
      <c r="G117" s="78"/>
      <c r="H117" s="13"/>
      <c r="I117" s="13"/>
      <c r="J117" s="13"/>
      <c r="K117" s="13"/>
      <c r="M117" s="86"/>
      <c r="N117" s="80"/>
      <c r="O117" s="11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50"/>
      <c r="AH117" s="13"/>
      <c r="AI117" s="13"/>
    </row>
    <row r="118" hidden="1">
      <c r="A118" s="88"/>
      <c r="B118" s="88"/>
      <c r="C118" s="88"/>
      <c r="D118" s="90">
        <v>1.0</v>
      </c>
      <c r="E118" s="80" t="s">
        <v>107</v>
      </c>
      <c r="F118" s="78"/>
      <c r="G118" s="78"/>
      <c r="H118" s="13"/>
      <c r="I118" s="13"/>
      <c r="J118" s="13"/>
      <c r="K118" s="13"/>
      <c r="M118" s="86"/>
      <c r="N118" s="80"/>
      <c r="O118" s="11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50"/>
      <c r="AH118" s="13"/>
      <c r="AI118" s="13"/>
    </row>
    <row r="119" hidden="1">
      <c r="A119" s="88"/>
      <c r="B119" s="88"/>
      <c r="C119" s="88"/>
      <c r="D119" s="90">
        <v>0.05</v>
      </c>
      <c r="E119" s="80" t="s">
        <v>108</v>
      </c>
      <c r="F119" s="78"/>
      <c r="G119" s="78"/>
      <c r="H119" s="13"/>
      <c r="I119" s="13"/>
      <c r="J119" s="13"/>
      <c r="K119" s="13"/>
      <c r="M119" s="86"/>
      <c r="N119" s="80"/>
      <c r="O119" s="11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50"/>
      <c r="AH119" s="13"/>
      <c r="AI119" s="13"/>
    </row>
    <row r="120" hidden="1">
      <c r="A120" s="88"/>
      <c r="B120" s="88"/>
      <c r="C120" s="88"/>
      <c r="D120" s="90">
        <v>0.19</v>
      </c>
      <c r="E120" s="80" t="s">
        <v>109</v>
      </c>
      <c r="F120" s="78"/>
      <c r="G120" s="78"/>
      <c r="H120" s="13"/>
      <c r="I120" s="13"/>
      <c r="J120" s="13"/>
      <c r="K120" s="13"/>
      <c r="M120" s="86"/>
      <c r="N120" s="80"/>
      <c r="O120" s="11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50"/>
      <c r="AH120" s="13"/>
      <c r="AI120" s="13"/>
    </row>
    <row r="121" hidden="1">
      <c r="A121" s="88"/>
      <c r="B121" s="88"/>
      <c r="C121" s="88"/>
      <c r="D121" s="90">
        <v>1.0</v>
      </c>
      <c r="E121" s="80" t="s">
        <v>110</v>
      </c>
      <c r="F121" s="78"/>
      <c r="G121" s="78"/>
      <c r="H121" s="13"/>
      <c r="I121" s="13"/>
      <c r="J121" s="13"/>
      <c r="K121" s="13"/>
      <c r="M121" s="86"/>
      <c r="N121" s="80"/>
      <c r="O121" s="11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50"/>
      <c r="AH121" s="13"/>
      <c r="AI121" s="13"/>
    </row>
    <row r="122" hidden="1">
      <c r="A122" s="88"/>
      <c r="B122" s="88"/>
      <c r="C122" s="88"/>
      <c r="D122" s="90">
        <v>1.0</v>
      </c>
      <c r="E122" s="80" t="s">
        <v>111</v>
      </c>
      <c r="F122" s="78"/>
      <c r="G122" s="78"/>
      <c r="H122" s="13"/>
      <c r="I122" s="13"/>
      <c r="J122" s="13"/>
      <c r="K122" s="13"/>
      <c r="M122" s="86"/>
      <c r="N122" s="80"/>
      <c r="O122" s="11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50"/>
      <c r="AH122" s="13"/>
      <c r="AI122" s="13"/>
    </row>
    <row r="123" hidden="1">
      <c r="A123" s="88"/>
      <c r="B123" s="88"/>
      <c r="C123" s="88"/>
      <c r="D123" s="90">
        <v>1.0</v>
      </c>
      <c r="E123" s="80" t="s">
        <v>112</v>
      </c>
      <c r="F123" s="78"/>
      <c r="G123" s="78"/>
      <c r="H123" s="13"/>
      <c r="I123" s="13"/>
      <c r="J123" s="13"/>
      <c r="K123" s="13"/>
      <c r="M123" s="86"/>
      <c r="N123" s="80"/>
      <c r="O123" s="11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50"/>
      <c r="AH123" s="13"/>
      <c r="AI123" s="13"/>
    </row>
    <row r="124" hidden="1">
      <c r="A124" s="88"/>
      <c r="B124" s="88"/>
      <c r="C124" s="88"/>
      <c r="D124" s="90">
        <v>1.0</v>
      </c>
      <c r="E124" s="80" t="s">
        <v>113</v>
      </c>
      <c r="F124" s="78"/>
      <c r="G124" s="78"/>
      <c r="H124" s="13"/>
      <c r="I124" s="13"/>
      <c r="J124" s="13"/>
      <c r="K124" s="13"/>
      <c r="M124" s="86"/>
      <c r="N124" s="80"/>
      <c r="O124" s="11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50"/>
      <c r="AH124" s="13"/>
      <c r="AI124" s="13"/>
    </row>
    <row r="125" hidden="1">
      <c r="A125" s="88"/>
      <c r="B125" s="88"/>
      <c r="C125" s="88"/>
      <c r="D125" s="90">
        <v>1.0</v>
      </c>
      <c r="E125" s="80" t="s">
        <v>114</v>
      </c>
      <c r="F125" s="78"/>
      <c r="G125" s="78"/>
      <c r="H125" s="13"/>
      <c r="I125" s="13"/>
      <c r="J125" s="13"/>
      <c r="K125" s="13"/>
      <c r="M125" s="86"/>
      <c r="N125" s="80"/>
      <c r="O125" s="11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50"/>
      <c r="AH125" s="13"/>
      <c r="AI125" s="13"/>
    </row>
    <row r="126" hidden="1">
      <c r="A126" s="88"/>
      <c r="B126" s="88"/>
      <c r="C126" s="88"/>
      <c r="D126" s="90">
        <v>1.0</v>
      </c>
      <c r="E126" s="80" t="s">
        <v>115</v>
      </c>
      <c r="F126" s="78"/>
      <c r="G126" s="78"/>
      <c r="H126" s="13"/>
      <c r="I126" s="13"/>
      <c r="J126" s="13"/>
      <c r="K126" s="13"/>
      <c r="M126" s="86"/>
      <c r="N126" s="80"/>
      <c r="O126" s="11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50"/>
      <c r="AH126" s="13"/>
      <c r="AI126" s="13"/>
    </row>
    <row r="127" hidden="1">
      <c r="A127" s="88"/>
      <c r="B127" s="88"/>
      <c r="C127" s="88"/>
      <c r="D127" s="90">
        <v>1.0</v>
      </c>
      <c r="E127" s="80" t="s">
        <v>116</v>
      </c>
      <c r="F127" s="78"/>
      <c r="G127" s="78"/>
      <c r="H127" s="13"/>
      <c r="I127" s="13"/>
      <c r="J127" s="13"/>
      <c r="K127" s="13"/>
      <c r="M127" s="86"/>
      <c r="N127" s="80"/>
      <c r="O127" s="11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50"/>
      <c r="AH127" s="13"/>
      <c r="AI127" s="13"/>
    </row>
    <row r="128" hidden="1">
      <c r="A128" s="88"/>
      <c r="B128" s="88"/>
      <c r="C128" s="88"/>
      <c r="D128" s="90">
        <v>1.0</v>
      </c>
      <c r="E128" s="80" t="s">
        <v>117</v>
      </c>
      <c r="F128" s="78"/>
      <c r="G128" s="78"/>
      <c r="H128" s="13"/>
      <c r="I128" s="13"/>
      <c r="J128" s="13"/>
      <c r="K128" s="13"/>
      <c r="M128" s="86"/>
      <c r="N128" s="80"/>
      <c r="O128" s="11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50"/>
      <c r="AH128" s="13"/>
      <c r="AI128" s="13"/>
    </row>
    <row r="129" hidden="1">
      <c r="A129" s="88"/>
      <c r="B129" s="88"/>
      <c r="C129" s="88"/>
      <c r="D129" s="90">
        <v>1.0</v>
      </c>
      <c r="E129" s="80" t="s">
        <v>118</v>
      </c>
      <c r="F129" s="78"/>
      <c r="G129" s="78"/>
      <c r="H129" s="13"/>
      <c r="I129" s="13"/>
      <c r="J129" s="13"/>
      <c r="K129" s="13"/>
      <c r="M129" s="86"/>
      <c r="N129" s="80"/>
      <c r="O129" s="11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50"/>
      <c r="AH129" s="13"/>
      <c r="AI129" s="13"/>
    </row>
    <row r="130" hidden="1">
      <c r="A130" s="88"/>
      <c r="B130" s="88"/>
      <c r="C130" s="88"/>
      <c r="D130" s="90">
        <v>1.0</v>
      </c>
      <c r="E130" s="80" t="s">
        <v>119</v>
      </c>
      <c r="F130" s="78"/>
      <c r="G130" s="78"/>
      <c r="H130" s="13"/>
      <c r="I130" s="13"/>
      <c r="J130" s="13"/>
      <c r="K130" s="13"/>
      <c r="M130" s="86"/>
      <c r="N130" s="80"/>
      <c r="O130" s="11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50"/>
      <c r="AH130" s="13"/>
      <c r="AI130" s="13"/>
    </row>
    <row r="131" hidden="1">
      <c r="A131" s="88"/>
      <c r="B131" s="88"/>
      <c r="C131" s="88"/>
      <c r="D131" s="90">
        <v>1.0</v>
      </c>
      <c r="E131" s="80" t="s">
        <v>120</v>
      </c>
      <c r="F131" s="78"/>
      <c r="G131" s="78"/>
      <c r="H131" s="13"/>
      <c r="I131" s="13"/>
      <c r="J131" s="13"/>
      <c r="K131" s="13"/>
      <c r="M131" s="86"/>
      <c r="N131" s="80"/>
      <c r="O131" s="11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50"/>
      <c r="AH131" s="13"/>
      <c r="AI131" s="13"/>
    </row>
    <row r="132" hidden="1">
      <c r="A132" s="88"/>
      <c r="B132" s="88"/>
      <c r="C132" s="88"/>
      <c r="D132" s="90">
        <v>1.0</v>
      </c>
      <c r="E132" s="80" t="s">
        <v>121</v>
      </c>
      <c r="F132" s="78"/>
      <c r="G132" s="78"/>
      <c r="H132" s="13"/>
      <c r="I132" s="13"/>
      <c r="J132" s="13"/>
      <c r="K132" s="13"/>
      <c r="M132" s="86"/>
      <c r="N132" s="80"/>
      <c r="O132" s="11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50"/>
      <c r="AH132" s="13"/>
      <c r="AI132" s="13"/>
    </row>
    <row r="133" hidden="1">
      <c r="A133" s="88"/>
      <c r="B133" s="88"/>
      <c r="C133" s="88"/>
      <c r="D133" s="90">
        <v>1.0</v>
      </c>
      <c r="E133" s="80" t="s">
        <v>122</v>
      </c>
      <c r="F133" s="78"/>
      <c r="G133" s="78"/>
      <c r="H133" s="13"/>
      <c r="I133" s="13"/>
      <c r="J133" s="13"/>
      <c r="K133" s="13"/>
      <c r="M133" s="86"/>
      <c r="N133" s="80"/>
      <c r="O133" s="11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50"/>
      <c r="AH133" s="13"/>
      <c r="AI133" s="13"/>
    </row>
    <row r="134" hidden="1">
      <c r="A134" s="88"/>
      <c r="B134" s="88"/>
      <c r="C134" s="88"/>
      <c r="D134" s="90">
        <v>1.0</v>
      </c>
      <c r="E134" s="80" t="s">
        <v>123</v>
      </c>
      <c r="F134" s="78"/>
      <c r="G134" s="78"/>
      <c r="H134" s="13"/>
      <c r="I134" s="13"/>
      <c r="J134" s="13"/>
      <c r="K134" s="13"/>
      <c r="M134" s="86"/>
      <c r="N134" s="80"/>
      <c r="O134" s="11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50"/>
      <c r="AH134" s="13"/>
      <c r="AI134" s="13"/>
    </row>
    <row r="135" hidden="1">
      <c r="A135" s="88"/>
      <c r="B135" s="88"/>
      <c r="C135" s="88"/>
      <c r="D135" s="90">
        <v>1.0</v>
      </c>
      <c r="E135" s="80" t="s">
        <v>124</v>
      </c>
      <c r="F135" s="78"/>
      <c r="G135" s="78"/>
      <c r="H135" s="13"/>
      <c r="I135" s="13"/>
      <c r="J135" s="13"/>
      <c r="K135" s="13"/>
      <c r="M135" s="86"/>
      <c r="N135" s="80"/>
      <c r="O135" s="11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50"/>
      <c r="AH135" s="13"/>
      <c r="AI135" s="13"/>
    </row>
    <row r="136" hidden="1">
      <c r="A136" s="88"/>
      <c r="B136" s="88"/>
      <c r="C136" s="88"/>
      <c r="D136" s="90">
        <v>1.0</v>
      </c>
      <c r="E136" s="80" t="s">
        <v>125</v>
      </c>
      <c r="F136" s="78"/>
      <c r="G136" s="78"/>
      <c r="H136" s="13"/>
      <c r="I136" s="13"/>
      <c r="J136" s="13"/>
      <c r="K136" s="13"/>
      <c r="M136" s="86"/>
      <c r="N136" s="80"/>
      <c r="O136" s="11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50"/>
      <c r="AH136" s="13"/>
      <c r="AI136" s="13"/>
    </row>
    <row r="137" hidden="1">
      <c r="A137" s="88"/>
      <c r="B137" s="88"/>
      <c r="C137" s="88"/>
      <c r="D137" s="90">
        <v>1.0</v>
      </c>
      <c r="E137" s="80" t="s">
        <v>126</v>
      </c>
      <c r="F137" s="78"/>
      <c r="G137" s="78"/>
      <c r="H137" s="13"/>
      <c r="I137" s="13"/>
      <c r="J137" s="13"/>
      <c r="K137" s="13"/>
      <c r="M137" s="86"/>
      <c r="N137" s="80"/>
      <c r="O137" s="11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50"/>
      <c r="AH137" s="13"/>
      <c r="AI137" s="13"/>
    </row>
    <row r="138" hidden="1">
      <c r="A138" s="88"/>
      <c r="B138" s="88"/>
      <c r="C138" s="88"/>
      <c r="D138" s="90">
        <v>0.24</v>
      </c>
      <c r="E138" s="80" t="s">
        <v>127</v>
      </c>
      <c r="F138" s="78"/>
      <c r="G138" s="78"/>
      <c r="H138" s="13"/>
      <c r="I138" s="13"/>
      <c r="J138" s="13"/>
      <c r="K138" s="13"/>
      <c r="M138" s="86"/>
      <c r="N138" s="80"/>
      <c r="O138" s="11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50"/>
      <c r="AH138" s="13"/>
      <c r="AI138" s="13"/>
    </row>
    <row r="139" hidden="1">
      <c r="A139" s="88"/>
      <c r="B139" s="88"/>
      <c r="C139" s="88"/>
      <c r="D139" s="90">
        <v>0.05</v>
      </c>
      <c r="E139" s="13" t="s">
        <v>128</v>
      </c>
      <c r="F139" s="78"/>
      <c r="G139" s="78"/>
      <c r="H139" s="13"/>
      <c r="I139" s="13"/>
      <c r="J139" s="13"/>
      <c r="K139" s="13"/>
      <c r="M139" s="86"/>
      <c r="N139" s="80"/>
      <c r="O139" s="11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50"/>
      <c r="AH139" s="13"/>
      <c r="AI139" s="13"/>
    </row>
    <row r="140" hidden="1">
      <c r="A140" s="88"/>
      <c r="B140" s="88"/>
      <c r="C140" s="88"/>
      <c r="D140" s="90">
        <v>0.03</v>
      </c>
      <c r="E140" s="13" t="s">
        <v>128</v>
      </c>
      <c r="F140" s="78"/>
      <c r="G140" s="78"/>
      <c r="H140" s="13"/>
      <c r="I140" s="13"/>
      <c r="J140" s="13"/>
      <c r="K140" s="13"/>
      <c r="M140" s="86"/>
      <c r="N140" s="80"/>
      <c r="O140" s="11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50"/>
      <c r="AH140" s="13"/>
      <c r="AI140" s="13"/>
    </row>
    <row r="141" hidden="1">
      <c r="A141" s="88"/>
      <c r="B141" s="88"/>
      <c r="C141" s="88"/>
      <c r="D141" s="90">
        <v>0.04</v>
      </c>
      <c r="E141" s="13" t="s">
        <v>128</v>
      </c>
      <c r="F141" s="78"/>
      <c r="G141" s="78"/>
      <c r="H141" s="13"/>
      <c r="I141" s="13"/>
      <c r="J141" s="13"/>
      <c r="K141" s="13"/>
      <c r="M141" s="86"/>
      <c r="N141" s="80"/>
      <c r="O141" s="11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50"/>
      <c r="AH141" s="13"/>
      <c r="AI141" s="13"/>
    </row>
    <row r="142" hidden="1">
      <c r="A142" s="88"/>
      <c r="B142" s="88"/>
      <c r="C142" s="88"/>
      <c r="D142" s="90">
        <v>1.0</v>
      </c>
      <c r="E142" s="80" t="s">
        <v>18</v>
      </c>
      <c r="F142" s="78"/>
      <c r="G142" s="78"/>
      <c r="H142" s="13"/>
      <c r="I142" s="13"/>
      <c r="J142" s="13"/>
      <c r="K142" s="13"/>
      <c r="M142" s="86"/>
      <c r="N142" s="80"/>
      <c r="O142" s="11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50"/>
      <c r="AH142" s="13"/>
      <c r="AI142" s="13"/>
    </row>
    <row r="143" hidden="1">
      <c r="A143" s="88"/>
      <c r="B143" s="88"/>
      <c r="C143" s="88"/>
      <c r="D143" s="88">
        <v>1.0</v>
      </c>
      <c r="E143" s="13" t="s">
        <v>129</v>
      </c>
      <c r="F143" s="78"/>
      <c r="G143" s="78"/>
      <c r="H143" s="13"/>
      <c r="I143" s="13"/>
      <c r="J143" s="13"/>
      <c r="K143" s="13"/>
      <c r="M143" s="86"/>
      <c r="N143" s="80"/>
      <c r="O143" s="11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50"/>
      <c r="AH143" s="13"/>
      <c r="AI143" s="13"/>
    </row>
    <row r="144" hidden="1">
      <c r="A144" s="88"/>
      <c r="B144" s="88"/>
      <c r="C144" s="88"/>
      <c r="D144" s="88">
        <v>1.0</v>
      </c>
      <c r="E144" s="80" t="s">
        <v>130</v>
      </c>
      <c r="F144" s="78"/>
      <c r="G144" s="78"/>
      <c r="H144" s="13"/>
      <c r="I144" s="13"/>
      <c r="J144" s="13"/>
      <c r="K144" s="13"/>
      <c r="M144" s="86"/>
      <c r="N144" s="13"/>
      <c r="O144" s="11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50"/>
      <c r="AH144" s="13"/>
      <c r="AI144" s="13"/>
    </row>
    <row r="145" hidden="1">
      <c r="A145" s="88"/>
      <c r="B145" s="88"/>
      <c r="C145" s="88"/>
      <c r="D145" s="90">
        <v>1.0</v>
      </c>
      <c r="E145" s="80" t="s">
        <v>131</v>
      </c>
      <c r="F145" s="78"/>
      <c r="G145" s="78"/>
      <c r="H145" s="13"/>
      <c r="I145" s="13"/>
      <c r="J145" s="13"/>
      <c r="K145" s="13"/>
      <c r="M145" s="86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50"/>
      <c r="AH145" s="13"/>
      <c r="AI145" s="13"/>
    </row>
    <row r="146" hidden="1">
      <c r="A146" s="88"/>
      <c r="B146" s="88"/>
      <c r="C146" s="88"/>
      <c r="D146" s="90">
        <v>1.0</v>
      </c>
      <c r="E146" s="80" t="s">
        <v>132</v>
      </c>
      <c r="F146" s="78"/>
      <c r="G146" s="78"/>
      <c r="H146" s="13"/>
      <c r="I146" s="13"/>
      <c r="J146" s="13"/>
      <c r="K146" s="13"/>
      <c r="M146" s="86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50"/>
      <c r="AH146" s="13"/>
      <c r="AI146" s="13"/>
    </row>
    <row r="147" hidden="1">
      <c r="A147" s="88"/>
      <c r="B147" s="88"/>
      <c r="C147" s="88"/>
      <c r="D147" s="88">
        <v>1.0</v>
      </c>
      <c r="E147" s="13" t="s">
        <v>133</v>
      </c>
      <c r="F147" s="78"/>
      <c r="G147" s="78"/>
      <c r="H147" s="13"/>
      <c r="I147" s="13"/>
      <c r="J147" s="13"/>
      <c r="K147" s="13"/>
      <c r="M147" s="86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50"/>
      <c r="AH147" s="13"/>
      <c r="AI147" s="13"/>
    </row>
    <row r="148" hidden="1">
      <c r="A148" s="88"/>
      <c r="B148" s="88"/>
      <c r="C148" s="88"/>
      <c r="D148" s="88">
        <v>0.13</v>
      </c>
      <c r="E148" s="13" t="s">
        <v>134</v>
      </c>
      <c r="F148" s="78"/>
      <c r="G148" s="78"/>
      <c r="H148" s="13"/>
      <c r="I148" s="13"/>
      <c r="J148" s="13"/>
      <c r="K148" s="13"/>
      <c r="L148" s="13"/>
      <c r="M148" s="8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50"/>
      <c r="AH148" s="13"/>
      <c r="AI148" s="13"/>
    </row>
    <row r="149" hidden="1">
      <c r="A149" s="88"/>
      <c r="B149" s="88"/>
      <c r="C149" s="88"/>
      <c r="D149" s="88">
        <v>1.0</v>
      </c>
      <c r="E149" s="13" t="s">
        <v>135</v>
      </c>
      <c r="F149" s="78"/>
      <c r="G149" s="78"/>
      <c r="H149" s="93"/>
      <c r="I149" s="13"/>
      <c r="J149" s="13"/>
      <c r="K149" s="13"/>
      <c r="L149" s="13"/>
      <c r="M149" s="8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50"/>
      <c r="AH149" s="13"/>
      <c r="AI149" s="13"/>
    </row>
    <row r="150" hidden="1">
      <c r="A150" s="88"/>
      <c r="B150" s="88"/>
      <c r="C150" s="88"/>
      <c r="D150" s="90">
        <v>0.5</v>
      </c>
      <c r="E150" s="80" t="s">
        <v>136</v>
      </c>
      <c r="F150" s="78"/>
      <c r="G150" s="78"/>
      <c r="H150" s="13"/>
      <c r="I150" s="13"/>
      <c r="J150" s="13"/>
      <c r="K150" s="13"/>
      <c r="L150" s="13"/>
      <c r="M150" s="8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50"/>
      <c r="AH150" s="13"/>
      <c r="AI150" s="13"/>
    </row>
    <row r="151" hidden="1">
      <c r="A151" s="88"/>
      <c r="B151" s="88"/>
      <c r="C151" s="88"/>
      <c r="D151" s="90">
        <v>0.5</v>
      </c>
      <c r="E151" s="80" t="s">
        <v>137</v>
      </c>
      <c r="F151" s="78"/>
      <c r="G151" s="78"/>
      <c r="H151" s="13"/>
      <c r="I151" s="13"/>
      <c r="J151" s="13"/>
      <c r="K151" s="13"/>
      <c r="L151" s="13"/>
      <c r="M151" s="8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50"/>
      <c r="AH151" s="13"/>
      <c r="AI151" s="13"/>
    </row>
    <row r="152" hidden="1">
      <c r="A152" s="88"/>
      <c r="B152" s="88"/>
      <c r="C152" s="88"/>
      <c r="D152" s="90">
        <v>0.3</v>
      </c>
      <c r="E152" s="80" t="s">
        <v>138</v>
      </c>
      <c r="F152" s="78"/>
      <c r="G152" s="78"/>
      <c r="H152" s="13"/>
      <c r="I152" s="13"/>
      <c r="J152" s="13"/>
      <c r="K152" s="13"/>
      <c r="L152" s="13"/>
      <c r="M152" s="8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50"/>
      <c r="AH152" s="13"/>
      <c r="AI152" s="13"/>
    </row>
    <row r="153" hidden="1">
      <c r="A153" s="88"/>
      <c r="B153" s="88"/>
      <c r="C153" s="88"/>
      <c r="D153" s="90">
        <v>0.23</v>
      </c>
      <c r="E153" s="80" t="s">
        <v>138</v>
      </c>
      <c r="F153" s="78"/>
      <c r="G153" s="78"/>
      <c r="H153" s="13"/>
      <c r="I153" s="13"/>
      <c r="J153" s="13"/>
      <c r="K153" s="13"/>
      <c r="L153" s="13"/>
      <c r="M153" s="8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50"/>
      <c r="AH153" s="13"/>
      <c r="AI153" s="13"/>
    </row>
    <row r="154" hidden="1">
      <c r="A154" s="88"/>
      <c r="B154" s="88"/>
      <c r="C154" s="88"/>
      <c r="D154" s="90">
        <v>0.25</v>
      </c>
      <c r="E154" s="80" t="s">
        <v>139</v>
      </c>
      <c r="F154" s="78"/>
      <c r="G154" s="78"/>
      <c r="H154" s="13"/>
      <c r="I154" s="13"/>
      <c r="J154" s="13"/>
      <c r="K154" s="13"/>
      <c r="L154" s="13"/>
      <c r="M154" s="8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50"/>
      <c r="AH154" s="13"/>
      <c r="AI154" s="13"/>
    </row>
    <row r="155" hidden="1">
      <c r="A155" s="88"/>
      <c r="B155" s="88"/>
      <c r="C155" s="88"/>
      <c r="D155" s="90"/>
      <c r="E155" s="80" t="s">
        <v>140</v>
      </c>
      <c r="F155" s="78"/>
      <c r="G155" s="78"/>
      <c r="H155" s="13"/>
      <c r="I155" s="13"/>
      <c r="J155" s="13"/>
      <c r="K155" s="13"/>
      <c r="L155" s="13"/>
      <c r="M155" s="8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50"/>
      <c r="AH155" s="13"/>
      <c r="AI155" s="13"/>
    </row>
    <row r="156" hidden="1">
      <c r="A156" s="88"/>
      <c r="B156" s="88"/>
      <c r="C156" s="88"/>
      <c r="D156" s="90">
        <v>0.19</v>
      </c>
      <c r="E156" s="80" t="s">
        <v>141</v>
      </c>
      <c r="F156" s="78"/>
      <c r="G156" s="78"/>
      <c r="H156" s="13"/>
      <c r="I156" s="13"/>
      <c r="J156" s="13"/>
      <c r="K156" s="13"/>
      <c r="L156" s="13"/>
      <c r="M156" s="8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50"/>
      <c r="AH156" s="13"/>
      <c r="AI156" s="13"/>
    </row>
    <row r="157" hidden="1">
      <c r="A157" s="88"/>
      <c r="B157" s="88"/>
      <c r="C157" s="88"/>
      <c r="D157" s="90">
        <v>1.0</v>
      </c>
      <c r="E157" s="80" t="s">
        <v>142</v>
      </c>
      <c r="F157" s="78"/>
      <c r="G157" s="78"/>
      <c r="H157" s="13"/>
      <c r="I157" s="13"/>
      <c r="J157" s="13"/>
      <c r="K157" s="13"/>
      <c r="L157" s="13"/>
      <c r="M157" s="8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50"/>
      <c r="AH157" s="13"/>
      <c r="AI157" s="13"/>
    </row>
    <row r="158" hidden="1">
      <c r="A158" s="88"/>
      <c r="B158" s="88"/>
      <c r="C158" s="88"/>
      <c r="D158" s="88"/>
      <c r="E158" s="13" t="s">
        <v>143</v>
      </c>
      <c r="F158" s="78"/>
      <c r="G158" s="78"/>
      <c r="H158" s="13"/>
      <c r="I158" s="13"/>
      <c r="J158" s="13"/>
      <c r="K158" s="13"/>
      <c r="L158" s="13"/>
      <c r="M158" s="8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50"/>
      <c r="AH158" s="13"/>
      <c r="AI158" s="13"/>
    </row>
    <row r="159" hidden="1">
      <c r="A159" s="88"/>
      <c r="B159" s="88"/>
      <c r="C159" s="88"/>
      <c r="D159" s="90">
        <v>1.0</v>
      </c>
      <c r="E159" s="80" t="s">
        <v>144</v>
      </c>
      <c r="F159" s="78"/>
      <c r="G159" s="78"/>
      <c r="H159" s="13"/>
      <c r="I159" s="13"/>
      <c r="J159" s="13"/>
      <c r="K159" s="13"/>
      <c r="L159" s="13"/>
      <c r="M159" s="8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50"/>
      <c r="AH159" s="13"/>
      <c r="AI159" s="13"/>
    </row>
    <row r="160" hidden="1">
      <c r="A160" s="88"/>
      <c r="B160" s="88"/>
      <c r="C160" s="88"/>
      <c r="D160" s="88">
        <v>1.0</v>
      </c>
      <c r="E160" s="13" t="s">
        <v>145</v>
      </c>
      <c r="F160" s="78"/>
      <c r="G160" s="78"/>
      <c r="H160" s="13"/>
      <c r="I160" s="13"/>
      <c r="J160" s="13"/>
      <c r="K160" s="13"/>
      <c r="L160" s="13"/>
      <c r="M160" s="8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50"/>
      <c r="AH160" s="13"/>
      <c r="AI160" s="13"/>
    </row>
    <row r="161" hidden="1">
      <c r="A161" s="88"/>
      <c r="B161" s="88"/>
      <c r="C161" s="88"/>
      <c r="D161" s="88">
        <v>1.0</v>
      </c>
      <c r="E161" s="13" t="s">
        <v>146</v>
      </c>
      <c r="F161" s="78"/>
      <c r="G161" s="78"/>
      <c r="H161" s="13"/>
      <c r="I161" s="13"/>
      <c r="J161" s="13"/>
      <c r="K161" s="13"/>
      <c r="L161" s="13"/>
      <c r="M161" s="8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50"/>
      <c r="AH161" s="13"/>
      <c r="AI161" s="13"/>
    </row>
    <row r="162" hidden="1">
      <c r="A162" s="88"/>
      <c r="B162" s="88"/>
      <c r="C162" s="88"/>
      <c r="D162" s="88">
        <v>1.0</v>
      </c>
      <c r="E162" s="13" t="s">
        <v>147</v>
      </c>
      <c r="F162" s="78"/>
      <c r="G162" s="78"/>
      <c r="H162" s="13"/>
      <c r="I162" s="13"/>
      <c r="J162" s="13"/>
      <c r="K162" s="13"/>
      <c r="L162" s="13"/>
      <c r="M162" s="8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50"/>
      <c r="AH162" s="13"/>
      <c r="AI162" s="13"/>
    </row>
    <row r="163" hidden="1">
      <c r="A163" s="88"/>
      <c r="B163" s="88"/>
      <c r="C163" s="88"/>
      <c r="D163" s="88"/>
      <c r="E163" s="13" t="s">
        <v>148</v>
      </c>
      <c r="F163" s="78"/>
      <c r="G163" s="78"/>
      <c r="H163" s="13"/>
      <c r="I163" s="13"/>
      <c r="J163" s="13"/>
      <c r="K163" s="13"/>
      <c r="L163" s="13"/>
      <c r="M163" s="8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50"/>
      <c r="AH163" s="13"/>
      <c r="AI163" s="13"/>
    </row>
    <row r="164" hidden="1">
      <c r="A164" s="88"/>
      <c r="B164" s="88"/>
      <c r="C164" s="88"/>
      <c r="D164" s="88">
        <v>1.0</v>
      </c>
      <c r="E164" s="13" t="s">
        <v>149</v>
      </c>
      <c r="F164" s="78"/>
      <c r="G164" s="78"/>
      <c r="H164" s="13"/>
      <c r="I164" s="13"/>
      <c r="J164" s="13"/>
      <c r="K164" s="13"/>
      <c r="L164" s="13"/>
      <c r="M164" s="8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50"/>
      <c r="AH164" s="13"/>
      <c r="AI164" s="13"/>
    </row>
    <row r="165" hidden="1">
      <c r="A165" s="88"/>
      <c r="B165" s="88"/>
      <c r="C165" s="88"/>
      <c r="D165" s="90">
        <v>1.0</v>
      </c>
      <c r="E165" s="80" t="s">
        <v>150</v>
      </c>
      <c r="F165" s="78"/>
      <c r="G165" s="78"/>
      <c r="H165" s="13"/>
      <c r="I165" s="13"/>
      <c r="J165" s="13"/>
      <c r="K165" s="13"/>
      <c r="L165" s="13"/>
      <c r="M165" s="8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hidden="1">
      <c r="A166" s="88"/>
      <c r="B166" s="88"/>
      <c r="C166" s="88"/>
      <c r="D166" s="90">
        <v>1.0</v>
      </c>
      <c r="E166" s="80" t="s">
        <v>151</v>
      </c>
      <c r="F166" s="78"/>
      <c r="G166" s="78"/>
      <c r="H166" s="13"/>
      <c r="I166" s="13"/>
      <c r="J166" s="13"/>
      <c r="K166" s="13"/>
      <c r="L166" s="13"/>
      <c r="M166" s="8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hidden="1">
      <c r="A167" s="88"/>
      <c r="B167" s="88"/>
      <c r="C167" s="88"/>
      <c r="D167" s="88">
        <v>1.0</v>
      </c>
      <c r="E167" s="13" t="s">
        <v>152</v>
      </c>
      <c r="F167" s="78"/>
      <c r="G167" s="78"/>
      <c r="H167" s="13"/>
      <c r="I167" s="13"/>
      <c r="J167" s="13"/>
      <c r="K167" s="13"/>
      <c r="L167" s="13"/>
      <c r="M167" s="8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hidden="1">
      <c r="A168" s="88"/>
      <c r="B168" s="88"/>
      <c r="C168" s="88"/>
      <c r="D168" s="88">
        <v>1.0</v>
      </c>
      <c r="E168" s="80" t="s">
        <v>153</v>
      </c>
      <c r="F168" s="78"/>
      <c r="G168" s="78"/>
      <c r="H168" s="13"/>
      <c r="I168" s="13"/>
      <c r="J168" s="13"/>
      <c r="K168" s="13"/>
      <c r="L168" s="13"/>
      <c r="M168" s="8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hidden="1">
      <c r="A169" s="88"/>
      <c r="B169" s="88"/>
      <c r="C169" s="88"/>
      <c r="D169" s="88">
        <v>1.0</v>
      </c>
      <c r="E169" s="80" t="s">
        <v>154</v>
      </c>
      <c r="F169" s="78"/>
      <c r="G169" s="78"/>
      <c r="H169" s="13"/>
      <c r="I169" s="13"/>
      <c r="J169" s="13"/>
      <c r="K169" s="13"/>
      <c r="L169" s="13"/>
      <c r="M169" s="8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hidden="1">
      <c r="A170" s="88"/>
      <c r="B170" s="88"/>
      <c r="C170" s="88"/>
      <c r="D170" s="88">
        <v>1.0</v>
      </c>
      <c r="E170" s="80" t="s">
        <v>155</v>
      </c>
      <c r="F170" s="78"/>
      <c r="G170" s="78"/>
      <c r="H170" s="13"/>
      <c r="I170" s="13"/>
      <c r="J170" s="13"/>
      <c r="K170" s="13"/>
      <c r="L170" s="13"/>
      <c r="M170" s="8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hidden="1">
      <c r="A171" s="88"/>
      <c r="B171" s="88"/>
      <c r="C171" s="88"/>
      <c r="D171" s="88">
        <v>1.0</v>
      </c>
      <c r="E171" s="80" t="s">
        <v>156</v>
      </c>
      <c r="F171" s="78"/>
      <c r="G171" s="78"/>
      <c r="H171" s="13"/>
      <c r="I171" s="13"/>
      <c r="J171" s="13"/>
      <c r="K171" s="13"/>
      <c r="L171" s="13"/>
      <c r="M171" s="8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hidden="1">
      <c r="A172" s="88"/>
      <c r="B172" s="88"/>
      <c r="C172" s="88"/>
      <c r="D172" s="88">
        <v>1.0</v>
      </c>
      <c r="E172" s="80" t="s">
        <v>157</v>
      </c>
      <c r="F172" s="78"/>
      <c r="G172" s="78"/>
      <c r="H172" s="13"/>
      <c r="I172" s="13"/>
      <c r="J172" s="13"/>
      <c r="K172" s="13"/>
      <c r="L172" s="13"/>
      <c r="M172" s="8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hidden="1">
      <c r="A173" s="88"/>
      <c r="B173" s="88"/>
      <c r="C173" s="88"/>
      <c r="D173" s="90">
        <v>0.08</v>
      </c>
      <c r="E173" s="80" t="s">
        <v>158</v>
      </c>
      <c r="F173" s="78"/>
      <c r="G173" s="78"/>
      <c r="H173" s="13"/>
      <c r="I173" s="13"/>
      <c r="J173" s="13"/>
      <c r="K173" s="13"/>
      <c r="L173" s="13"/>
      <c r="M173" s="8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hidden="1">
      <c r="A174" s="88"/>
      <c r="B174" s="88"/>
      <c r="C174" s="88"/>
      <c r="D174" s="90">
        <v>1.0</v>
      </c>
      <c r="E174" s="80" t="s">
        <v>159</v>
      </c>
      <c r="F174" s="78"/>
      <c r="G174" s="78"/>
      <c r="H174" s="13"/>
      <c r="I174" s="13"/>
      <c r="J174" s="13"/>
      <c r="K174" s="13"/>
      <c r="L174" s="13"/>
      <c r="M174" s="8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hidden="1">
      <c r="A175" s="88"/>
      <c r="B175" s="88"/>
      <c r="C175" s="88"/>
      <c r="D175" s="88">
        <v>1.0</v>
      </c>
      <c r="E175" s="13" t="s">
        <v>160</v>
      </c>
      <c r="F175" s="78"/>
      <c r="G175" s="78"/>
      <c r="H175" s="13"/>
      <c r="I175" s="13"/>
      <c r="J175" s="13"/>
      <c r="K175" s="13"/>
      <c r="L175" s="13"/>
      <c r="M175" s="8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hidden="1">
      <c r="A176" s="88"/>
      <c r="B176" s="88"/>
      <c r="C176" s="88"/>
      <c r="D176" s="90">
        <v>1.0</v>
      </c>
      <c r="E176" s="80" t="s">
        <v>161</v>
      </c>
      <c r="F176" s="78"/>
      <c r="G176" s="78"/>
      <c r="H176" s="13"/>
      <c r="I176" s="13"/>
      <c r="J176" s="13"/>
      <c r="K176" s="13"/>
      <c r="L176" s="13"/>
      <c r="M176" s="8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hidden="1">
      <c r="A177" s="88"/>
      <c r="B177" s="88"/>
      <c r="C177" s="88"/>
      <c r="D177" s="90">
        <v>0.1</v>
      </c>
      <c r="E177" s="80" t="s">
        <v>162</v>
      </c>
      <c r="F177" s="78"/>
      <c r="G177" s="78"/>
      <c r="H177" s="13"/>
      <c r="I177" s="13"/>
      <c r="J177" s="13"/>
      <c r="K177" s="13"/>
      <c r="L177" s="13"/>
      <c r="M177" s="8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hidden="1">
      <c r="A178" s="88"/>
      <c r="B178" s="88"/>
      <c r="C178" s="88"/>
      <c r="D178" s="88">
        <v>1.0</v>
      </c>
      <c r="E178" s="13" t="s">
        <v>163</v>
      </c>
      <c r="F178" s="78"/>
      <c r="G178" s="78"/>
      <c r="H178" s="13"/>
      <c r="I178" s="13"/>
      <c r="J178" s="13"/>
      <c r="K178" s="13"/>
      <c r="L178" s="13"/>
      <c r="M178" s="8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hidden="1">
      <c r="A179" s="88"/>
      <c r="B179" s="88"/>
      <c r="C179" s="88"/>
      <c r="D179" s="90">
        <v>1.0</v>
      </c>
      <c r="E179" s="80" t="s">
        <v>164</v>
      </c>
      <c r="F179" s="78"/>
      <c r="G179" s="78"/>
      <c r="H179" s="13"/>
      <c r="I179" s="13"/>
      <c r="J179" s="13"/>
      <c r="K179" s="13"/>
      <c r="L179" s="13"/>
      <c r="M179" s="8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hidden="1">
      <c r="A180" s="88"/>
      <c r="B180" s="88"/>
      <c r="C180" s="88"/>
      <c r="D180" s="90">
        <v>1.0</v>
      </c>
      <c r="E180" s="80" t="s">
        <v>165</v>
      </c>
      <c r="F180" s="78"/>
      <c r="G180" s="78"/>
      <c r="H180" s="13"/>
      <c r="I180" s="13"/>
      <c r="J180" s="13"/>
      <c r="K180" s="13"/>
      <c r="L180" s="13"/>
      <c r="M180" s="8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hidden="1">
      <c r="A181" s="88"/>
      <c r="B181" s="88"/>
      <c r="C181" s="88"/>
      <c r="D181" s="90">
        <v>1.0</v>
      </c>
      <c r="E181" s="80" t="s">
        <v>166</v>
      </c>
      <c r="F181" s="78"/>
      <c r="G181" s="78"/>
      <c r="H181" s="13"/>
      <c r="I181" s="13"/>
      <c r="J181" s="13"/>
      <c r="K181" s="13"/>
      <c r="L181" s="13"/>
      <c r="M181" s="8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hidden="1">
      <c r="A182" s="88"/>
      <c r="B182" s="88"/>
      <c r="C182" s="88"/>
      <c r="D182" s="90">
        <v>1.0</v>
      </c>
      <c r="E182" s="80" t="s">
        <v>167</v>
      </c>
      <c r="F182" s="78"/>
      <c r="G182" s="78"/>
      <c r="H182" s="13"/>
      <c r="I182" s="13"/>
      <c r="J182" s="13"/>
      <c r="K182" s="13"/>
      <c r="L182" s="13"/>
      <c r="M182" s="8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hidden="1">
      <c r="A183" s="88"/>
      <c r="B183" s="88"/>
      <c r="C183" s="88"/>
      <c r="D183" s="88">
        <v>1.0</v>
      </c>
      <c r="E183" s="13" t="s">
        <v>168</v>
      </c>
      <c r="F183" s="78"/>
      <c r="G183" s="78"/>
      <c r="H183" s="13"/>
      <c r="I183" s="13"/>
      <c r="J183" s="13"/>
      <c r="K183" s="13"/>
      <c r="L183" s="13"/>
      <c r="M183" s="8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hidden="1">
      <c r="A184" s="88"/>
      <c r="B184" s="88"/>
      <c r="C184" s="88"/>
      <c r="D184" s="88">
        <v>1.0</v>
      </c>
      <c r="E184" s="13" t="s">
        <v>169</v>
      </c>
      <c r="F184" s="78"/>
      <c r="G184" s="78"/>
      <c r="H184" s="13"/>
      <c r="I184" s="13"/>
      <c r="J184" s="13"/>
      <c r="K184" s="13"/>
      <c r="L184" s="13"/>
      <c r="M184" s="8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hidden="1">
      <c r="A185" s="88"/>
      <c r="B185" s="88"/>
      <c r="C185" s="88"/>
      <c r="D185" s="90">
        <v>1.0</v>
      </c>
      <c r="E185" s="80" t="s">
        <v>170</v>
      </c>
      <c r="F185" s="78"/>
      <c r="G185" s="78"/>
      <c r="H185" s="13"/>
      <c r="I185" s="13"/>
      <c r="J185" s="13"/>
      <c r="K185" s="13"/>
      <c r="L185" s="13"/>
      <c r="M185" s="8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hidden="1">
      <c r="A186" s="88"/>
      <c r="B186" s="88"/>
      <c r="C186" s="88"/>
      <c r="D186" s="90">
        <v>1.0</v>
      </c>
      <c r="E186" s="80" t="s">
        <v>171</v>
      </c>
      <c r="F186" s="78"/>
      <c r="G186" s="78"/>
      <c r="H186" s="13"/>
      <c r="I186" s="13"/>
      <c r="J186" s="13"/>
      <c r="K186" s="13"/>
      <c r="L186" s="13"/>
      <c r="M186" s="8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hidden="1">
      <c r="A187" s="88"/>
      <c r="B187" s="88"/>
      <c r="C187" s="88"/>
      <c r="D187" s="90">
        <v>1.0</v>
      </c>
      <c r="E187" s="80" t="s">
        <v>172</v>
      </c>
      <c r="F187" s="78"/>
      <c r="G187" s="78"/>
      <c r="H187" s="13"/>
      <c r="I187" s="13"/>
      <c r="J187" s="13"/>
      <c r="K187" s="13"/>
      <c r="L187" s="13"/>
      <c r="M187" s="8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hidden="1">
      <c r="A188" s="88"/>
      <c r="B188" s="88"/>
      <c r="C188" s="88"/>
      <c r="D188" s="90">
        <v>1.0</v>
      </c>
      <c r="E188" s="80" t="s">
        <v>173</v>
      </c>
      <c r="F188" s="78"/>
      <c r="G188" s="78"/>
      <c r="H188" s="13"/>
      <c r="I188" s="13"/>
      <c r="J188" s="13"/>
      <c r="K188" s="13"/>
      <c r="L188" s="13"/>
      <c r="M188" s="8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hidden="1">
      <c r="A189" s="88"/>
      <c r="B189" s="88"/>
      <c r="C189" s="88"/>
      <c r="D189" s="90">
        <v>1.0</v>
      </c>
      <c r="E189" s="80" t="s">
        <v>174</v>
      </c>
      <c r="F189" s="78"/>
      <c r="G189" s="78"/>
      <c r="H189" s="13"/>
      <c r="I189" s="13"/>
      <c r="J189" s="13"/>
      <c r="K189" s="13"/>
      <c r="L189" s="13"/>
      <c r="M189" s="8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hidden="1">
      <c r="A190" s="88"/>
      <c r="B190" s="88"/>
      <c r="C190" s="88"/>
      <c r="D190" s="90">
        <v>1.0</v>
      </c>
      <c r="E190" s="80" t="s">
        <v>175</v>
      </c>
      <c r="F190" s="78"/>
      <c r="G190" s="78"/>
      <c r="H190" s="13"/>
      <c r="I190" s="13"/>
      <c r="J190" s="13"/>
      <c r="K190" s="13"/>
      <c r="L190" s="13"/>
      <c r="M190" s="8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hidden="1">
      <c r="A191" s="88"/>
      <c r="B191" s="88"/>
      <c r="C191" s="88"/>
      <c r="D191" s="88">
        <v>1.0</v>
      </c>
      <c r="E191" s="13" t="s">
        <v>176</v>
      </c>
      <c r="F191" s="78"/>
      <c r="G191" s="78"/>
      <c r="H191" s="13"/>
      <c r="I191" s="13"/>
      <c r="J191" s="13"/>
      <c r="K191" s="13"/>
      <c r="L191" s="13"/>
      <c r="M191" s="8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hidden="1">
      <c r="A192" s="88"/>
      <c r="B192" s="88"/>
      <c r="C192" s="88"/>
      <c r="D192" s="90">
        <v>1.0</v>
      </c>
      <c r="E192" s="80" t="s">
        <v>177</v>
      </c>
      <c r="F192" s="78"/>
      <c r="G192" s="78"/>
      <c r="H192" s="13"/>
      <c r="I192" s="13"/>
      <c r="J192" s="13"/>
      <c r="K192" s="13"/>
      <c r="L192" s="13"/>
      <c r="M192" s="8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hidden="1">
      <c r="A193" s="88"/>
      <c r="B193" s="88"/>
      <c r="C193" s="88"/>
      <c r="D193" s="88">
        <v>1.0</v>
      </c>
      <c r="E193" s="13" t="s">
        <v>178</v>
      </c>
      <c r="F193" s="78"/>
      <c r="G193" s="78"/>
      <c r="H193" s="13"/>
      <c r="I193" s="13"/>
      <c r="J193" s="13"/>
      <c r="K193" s="13"/>
      <c r="L193" s="13"/>
      <c r="M193" s="8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hidden="1">
      <c r="A194" s="88"/>
      <c r="B194" s="88"/>
      <c r="C194" s="88"/>
      <c r="D194" s="88">
        <v>1.0</v>
      </c>
      <c r="E194" s="13" t="s">
        <v>179</v>
      </c>
      <c r="F194" s="78"/>
      <c r="G194" s="78"/>
      <c r="H194" s="13"/>
      <c r="I194" s="13"/>
      <c r="J194" s="13"/>
      <c r="K194" s="13"/>
      <c r="L194" s="13"/>
      <c r="M194" s="8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hidden="1">
      <c r="A195" s="88"/>
      <c r="B195" s="88"/>
      <c r="C195" s="88"/>
      <c r="D195" s="90">
        <v>1.0</v>
      </c>
      <c r="E195" s="80" t="s">
        <v>180</v>
      </c>
      <c r="F195" s="78"/>
      <c r="G195" s="78"/>
      <c r="H195" s="13"/>
      <c r="I195" s="13"/>
      <c r="J195" s="13"/>
      <c r="K195" s="13"/>
      <c r="L195" s="13"/>
      <c r="M195" s="8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hidden="1">
      <c r="A196" s="88"/>
      <c r="B196" s="88"/>
      <c r="C196" s="88"/>
      <c r="D196" s="88"/>
      <c r="E196" s="13" t="s">
        <v>181</v>
      </c>
      <c r="F196" s="78"/>
      <c r="G196" s="78"/>
      <c r="H196" s="13"/>
      <c r="I196" s="13"/>
      <c r="J196" s="13"/>
      <c r="K196" s="13"/>
      <c r="L196" s="13"/>
      <c r="M196" s="8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hidden="1">
      <c r="A197" s="88"/>
      <c r="B197" s="88"/>
      <c r="C197" s="88"/>
      <c r="D197" s="88"/>
      <c r="E197" s="13" t="s">
        <v>182</v>
      </c>
      <c r="F197" s="78"/>
      <c r="G197" s="78"/>
      <c r="H197" s="13"/>
      <c r="I197" s="13"/>
      <c r="J197" s="13"/>
      <c r="K197" s="13"/>
      <c r="L197" s="13"/>
      <c r="M197" s="8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hidden="1">
      <c r="A198" s="88"/>
      <c r="B198" s="88"/>
      <c r="C198" s="88"/>
      <c r="D198" s="90">
        <v>1.0</v>
      </c>
      <c r="E198" s="80" t="s">
        <v>183</v>
      </c>
      <c r="F198" s="78"/>
      <c r="G198" s="78"/>
      <c r="H198" s="13"/>
      <c r="I198" s="13"/>
      <c r="J198" s="13"/>
      <c r="K198" s="13"/>
      <c r="L198" s="13"/>
      <c r="M198" s="8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hidden="1">
      <c r="A199" s="88"/>
      <c r="B199" s="88"/>
      <c r="C199" s="88"/>
      <c r="D199" s="90">
        <v>1.0</v>
      </c>
      <c r="E199" s="80" t="s">
        <v>184</v>
      </c>
      <c r="F199" s="78"/>
      <c r="G199" s="78"/>
      <c r="H199" s="13"/>
      <c r="I199" s="13"/>
      <c r="J199" s="13"/>
      <c r="K199" s="13"/>
      <c r="L199" s="13"/>
      <c r="M199" s="8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hidden="1">
      <c r="A200" s="88"/>
      <c r="B200" s="88"/>
      <c r="C200" s="88"/>
      <c r="D200" s="90">
        <v>1.0</v>
      </c>
      <c r="E200" s="80" t="s">
        <v>185</v>
      </c>
      <c r="F200" s="78"/>
      <c r="G200" s="78"/>
      <c r="H200" s="13"/>
      <c r="I200" s="13"/>
      <c r="J200" s="13"/>
      <c r="K200" s="13"/>
      <c r="L200" s="13"/>
      <c r="M200" s="8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hidden="1">
      <c r="A201" s="88"/>
      <c r="B201" s="88"/>
      <c r="C201" s="88"/>
      <c r="D201" s="88"/>
      <c r="E201" s="13" t="s">
        <v>186</v>
      </c>
      <c r="F201" s="78"/>
      <c r="G201" s="78"/>
      <c r="H201" s="13"/>
      <c r="I201" s="13"/>
      <c r="J201" s="13"/>
      <c r="K201" s="13"/>
      <c r="L201" s="13"/>
      <c r="M201" s="8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hidden="1">
      <c r="A202" s="88"/>
      <c r="B202" s="88"/>
      <c r="C202" s="88"/>
      <c r="D202" s="88"/>
      <c r="E202" s="13" t="s">
        <v>187</v>
      </c>
      <c r="F202" s="78"/>
      <c r="G202" s="78"/>
      <c r="H202" s="13"/>
      <c r="I202" s="13"/>
      <c r="J202" s="13"/>
      <c r="K202" s="13"/>
      <c r="L202" s="13"/>
      <c r="M202" s="8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hidden="1">
      <c r="A203" s="88"/>
      <c r="B203" s="88"/>
      <c r="C203" s="88"/>
      <c r="D203" s="90">
        <v>1.0</v>
      </c>
      <c r="E203" s="80" t="s">
        <v>62</v>
      </c>
      <c r="F203" s="78"/>
      <c r="G203" s="78"/>
      <c r="H203" s="13"/>
      <c r="I203" s="13"/>
      <c r="J203" s="13"/>
      <c r="K203" s="13"/>
      <c r="L203" s="13"/>
      <c r="M203" s="8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hidden="1">
      <c r="A204" s="88"/>
      <c r="B204" s="88"/>
      <c r="C204" s="88"/>
      <c r="D204" s="88">
        <v>1.0</v>
      </c>
      <c r="E204" s="13" t="s">
        <v>188</v>
      </c>
      <c r="F204" s="78"/>
      <c r="G204" s="78"/>
      <c r="H204" s="13"/>
      <c r="I204" s="13"/>
      <c r="J204" s="13"/>
      <c r="K204" s="13"/>
      <c r="L204" s="13"/>
      <c r="M204" s="8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hidden="1">
      <c r="A205" s="88"/>
      <c r="B205" s="88"/>
      <c r="C205" s="88"/>
      <c r="D205" s="88">
        <v>1.0</v>
      </c>
      <c r="E205" s="13" t="s">
        <v>189</v>
      </c>
      <c r="F205" s="78"/>
      <c r="G205" s="78"/>
      <c r="H205" s="13"/>
      <c r="I205" s="13"/>
      <c r="J205" s="13"/>
      <c r="K205" s="13"/>
      <c r="L205" s="13"/>
      <c r="M205" s="8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hidden="1">
      <c r="A206" s="88"/>
      <c r="B206" s="88"/>
      <c r="C206" s="88"/>
      <c r="D206" s="88">
        <v>1.0</v>
      </c>
      <c r="E206" s="13" t="s">
        <v>56</v>
      </c>
      <c r="F206" s="78"/>
      <c r="G206" s="78"/>
      <c r="H206" s="13"/>
      <c r="I206" s="13"/>
      <c r="J206" s="13"/>
      <c r="K206" s="13"/>
      <c r="L206" s="13"/>
      <c r="M206" s="8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hidden="1">
      <c r="A207" s="88"/>
      <c r="B207" s="88"/>
      <c r="C207" s="88"/>
      <c r="D207" s="88">
        <v>0.13</v>
      </c>
      <c r="E207" s="13" t="s">
        <v>190</v>
      </c>
      <c r="F207" s="78"/>
      <c r="G207" s="78"/>
      <c r="H207" s="13"/>
      <c r="I207" s="13"/>
      <c r="J207" s="13"/>
      <c r="K207" s="13"/>
      <c r="L207" s="13"/>
      <c r="M207" s="8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hidden="1">
      <c r="A208" s="88"/>
      <c r="B208" s="88"/>
      <c r="C208" s="88"/>
      <c r="D208" s="88"/>
      <c r="E208" s="13" t="s">
        <v>191</v>
      </c>
      <c r="F208" s="78"/>
      <c r="G208" s="78"/>
      <c r="H208" s="13"/>
      <c r="I208" s="13"/>
      <c r="J208" s="13"/>
      <c r="K208" s="13"/>
      <c r="L208" s="13"/>
      <c r="M208" s="8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hidden="1">
      <c r="A209" s="88"/>
      <c r="B209" s="88"/>
      <c r="C209" s="88"/>
      <c r="D209" s="88">
        <v>1.0</v>
      </c>
      <c r="E209" s="13" t="s">
        <v>192</v>
      </c>
      <c r="F209" s="78"/>
      <c r="G209" s="78"/>
      <c r="H209" s="13"/>
      <c r="I209" s="13"/>
      <c r="J209" s="13"/>
      <c r="K209" s="13"/>
      <c r="L209" s="13"/>
      <c r="M209" s="8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hidden="1">
      <c r="A210" s="88"/>
      <c r="B210" s="88"/>
      <c r="C210" s="88"/>
      <c r="D210" s="88"/>
      <c r="E210" s="13" t="s">
        <v>193</v>
      </c>
      <c r="F210" s="78"/>
      <c r="G210" s="78"/>
      <c r="H210" s="13"/>
      <c r="I210" s="13"/>
      <c r="J210" s="13"/>
      <c r="K210" s="13"/>
      <c r="L210" s="13"/>
      <c r="M210" s="8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hidden="1">
      <c r="A211" s="88"/>
      <c r="B211" s="88"/>
      <c r="C211" s="88"/>
      <c r="D211" s="90">
        <v>0.175</v>
      </c>
      <c r="E211" s="13" t="s">
        <v>194</v>
      </c>
      <c r="F211" s="78"/>
      <c r="G211" s="78"/>
      <c r="H211" s="13"/>
      <c r="I211" s="13"/>
      <c r="J211" s="13"/>
      <c r="K211" s="13"/>
      <c r="L211" s="13"/>
      <c r="M211" s="8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hidden="1">
      <c r="A212" s="88"/>
      <c r="B212" s="88"/>
      <c r="C212" s="88"/>
      <c r="D212" s="90">
        <v>0.2</v>
      </c>
      <c r="E212" s="13" t="s">
        <v>195</v>
      </c>
      <c r="F212" s="78"/>
      <c r="G212" s="78"/>
      <c r="H212" s="13"/>
      <c r="I212" s="13"/>
      <c r="J212" s="13"/>
      <c r="K212" s="13"/>
      <c r="L212" s="13"/>
      <c r="M212" s="8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hidden="1">
      <c r="A213" s="88"/>
      <c r="B213" s="88"/>
      <c r="C213" s="88"/>
      <c r="D213" s="88">
        <v>0.1</v>
      </c>
      <c r="E213" s="13" t="s">
        <v>196</v>
      </c>
      <c r="F213" s="78"/>
      <c r="G213" s="78"/>
      <c r="H213" s="13"/>
      <c r="I213" s="13"/>
      <c r="J213" s="13"/>
      <c r="K213" s="13"/>
      <c r="L213" s="13"/>
      <c r="M213" s="8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hidden="1">
      <c r="A214" s="88"/>
      <c r="B214" s="88"/>
      <c r="C214" s="88"/>
      <c r="D214" s="88">
        <v>1.0</v>
      </c>
      <c r="E214" s="13" t="s">
        <v>197</v>
      </c>
      <c r="F214" s="78"/>
      <c r="G214" s="78"/>
      <c r="H214" s="13"/>
      <c r="I214" s="13"/>
      <c r="J214" s="13"/>
      <c r="K214" s="13"/>
      <c r="L214" s="13"/>
      <c r="M214" s="8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hidden="1">
      <c r="A215" s="88"/>
      <c r="B215" s="88"/>
      <c r="C215" s="88"/>
      <c r="D215" s="90">
        <v>1.0</v>
      </c>
      <c r="E215" s="80" t="s">
        <v>198</v>
      </c>
      <c r="F215" s="78"/>
      <c r="G215" s="78"/>
      <c r="H215" s="13"/>
      <c r="I215" s="13"/>
      <c r="J215" s="13"/>
      <c r="K215" s="13"/>
      <c r="L215" s="13"/>
      <c r="M215" s="8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hidden="1">
      <c r="A216" s="88"/>
      <c r="B216" s="88"/>
      <c r="C216" s="88"/>
      <c r="D216" s="90">
        <v>1.0</v>
      </c>
      <c r="E216" s="80" t="s">
        <v>199</v>
      </c>
      <c r="F216" s="78"/>
      <c r="G216" s="78"/>
      <c r="H216" s="13"/>
      <c r="I216" s="13"/>
      <c r="J216" s="13"/>
      <c r="K216" s="13"/>
      <c r="L216" s="13"/>
      <c r="M216" s="8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hidden="1">
      <c r="A217" s="88"/>
      <c r="B217" s="88"/>
      <c r="C217" s="88"/>
      <c r="D217" s="88">
        <v>1.0</v>
      </c>
      <c r="E217" s="80" t="s">
        <v>200</v>
      </c>
      <c r="F217" s="78"/>
      <c r="G217" s="78"/>
      <c r="H217" s="13"/>
      <c r="I217" s="13"/>
      <c r="J217" s="13"/>
      <c r="K217" s="13"/>
      <c r="L217" s="13"/>
      <c r="M217" s="8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hidden="1">
      <c r="A218" s="88"/>
      <c r="B218" s="88"/>
      <c r="C218" s="88"/>
      <c r="D218" s="88">
        <v>1.0</v>
      </c>
      <c r="E218" s="80" t="s">
        <v>201</v>
      </c>
      <c r="F218" s="78"/>
      <c r="G218" s="78"/>
      <c r="H218" s="13"/>
      <c r="I218" s="13"/>
      <c r="J218" s="13"/>
      <c r="K218" s="13"/>
      <c r="L218" s="13"/>
      <c r="M218" s="8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hidden="1">
      <c r="A219" s="88"/>
      <c r="B219" s="88"/>
      <c r="C219" s="88"/>
      <c r="D219" s="88">
        <v>1.0</v>
      </c>
      <c r="E219" s="13" t="s">
        <v>202</v>
      </c>
      <c r="F219" s="78"/>
      <c r="G219" s="78"/>
      <c r="H219" s="13"/>
      <c r="I219" s="13"/>
      <c r="J219" s="13"/>
      <c r="K219" s="13"/>
      <c r="L219" s="13"/>
      <c r="M219" s="8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hidden="1">
      <c r="A220" s="88"/>
      <c r="B220" s="88"/>
      <c r="C220" s="88"/>
      <c r="D220" s="88">
        <v>1.0</v>
      </c>
      <c r="E220" s="13" t="s">
        <v>203</v>
      </c>
      <c r="F220" s="78"/>
      <c r="G220" s="78"/>
      <c r="H220" s="13"/>
      <c r="I220" s="13"/>
      <c r="J220" s="13"/>
      <c r="K220" s="13"/>
      <c r="L220" s="13"/>
      <c r="M220" s="8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hidden="1">
      <c r="A221" s="90"/>
      <c r="B221" s="90"/>
      <c r="C221" s="90"/>
      <c r="D221" s="88"/>
      <c r="E221" s="13" t="s">
        <v>20</v>
      </c>
      <c r="F221" s="78"/>
      <c r="G221" s="78"/>
      <c r="H221" s="13"/>
      <c r="I221" s="13"/>
      <c r="J221" s="13"/>
      <c r="K221" s="13"/>
      <c r="L221" s="13"/>
      <c r="M221" s="8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hidden="1">
      <c r="A222" s="88"/>
      <c r="B222" s="88"/>
      <c r="C222" s="88"/>
      <c r="D222" s="90">
        <v>1.0</v>
      </c>
      <c r="E222" s="13" t="s">
        <v>204</v>
      </c>
      <c r="F222" s="78"/>
      <c r="G222" s="78"/>
      <c r="H222" s="13"/>
      <c r="I222" s="13"/>
      <c r="J222" s="13"/>
      <c r="K222" s="13"/>
      <c r="L222" s="13"/>
      <c r="M222" s="8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hidden="1">
      <c r="A223" s="88"/>
      <c r="B223" s="88"/>
      <c r="C223" s="88"/>
      <c r="D223" s="88">
        <v>0.05</v>
      </c>
      <c r="E223" s="13" t="s">
        <v>205</v>
      </c>
      <c r="F223" s="78"/>
      <c r="G223" s="78"/>
      <c r="H223" s="13"/>
      <c r="I223" s="13"/>
      <c r="J223" s="13"/>
      <c r="K223" s="13"/>
      <c r="L223" s="13"/>
      <c r="M223" s="8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hidden="1">
      <c r="A224" s="88"/>
      <c r="B224" s="88"/>
      <c r="C224" s="88"/>
      <c r="D224" s="88">
        <v>1.0</v>
      </c>
      <c r="E224" s="13" t="s">
        <v>206</v>
      </c>
      <c r="F224" s="78"/>
      <c r="G224" s="78"/>
      <c r="H224" s="13"/>
      <c r="I224" s="13"/>
      <c r="J224" s="13"/>
      <c r="K224" s="13"/>
      <c r="L224" s="13"/>
      <c r="M224" s="8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hidden="1">
      <c r="A225" s="88"/>
      <c r="B225" s="88"/>
      <c r="C225" s="88"/>
      <c r="D225" s="88">
        <v>1.0</v>
      </c>
      <c r="E225" s="80" t="s">
        <v>207</v>
      </c>
      <c r="F225" s="78"/>
      <c r="G225" s="78"/>
      <c r="H225" s="13"/>
      <c r="I225" s="13"/>
      <c r="J225" s="13"/>
      <c r="K225" s="13"/>
      <c r="L225" s="13"/>
      <c r="M225" s="8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hidden="1">
      <c r="A226" s="88"/>
      <c r="B226" s="88"/>
      <c r="C226" s="88"/>
      <c r="D226" s="88">
        <v>1.0</v>
      </c>
      <c r="E226" s="80" t="s">
        <v>208</v>
      </c>
      <c r="F226" s="78"/>
      <c r="G226" s="78"/>
      <c r="H226" s="13"/>
      <c r="I226" s="13"/>
      <c r="J226" s="13"/>
      <c r="K226" s="13"/>
      <c r="L226" s="13"/>
      <c r="M226" s="8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hidden="1">
      <c r="A227" s="88"/>
      <c r="B227" s="88"/>
      <c r="C227" s="88"/>
      <c r="D227" s="90">
        <v>1.0</v>
      </c>
      <c r="E227" s="80" t="s">
        <v>209</v>
      </c>
      <c r="F227" s="78"/>
      <c r="G227" s="78"/>
      <c r="H227" s="13"/>
      <c r="I227" s="13"/>
      <c r="J227" s="13"/>
      <c r="K227" s="13"/>
      <c r="L227" s="13"/>
      <c r="M227" s="8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hidden="1">
      <c r="A228" s="88"/>
      <c r="B228" s="88"/>
      <c r="C228" s="88"/>
      <c r="D228" s="90">
        <v>1.0</v>
      </c>
      <c r="E228" s="80" t="s">
        <v>210</v>
      </c>
      <c r="F228" s="78"/>
      <c r="G228" s="78"/>
      <c r="H228" s="13"/>
      <c r="I228" s="13"/>
      <c r="J228" s="13"/>
      <c r="K228" s="13"/>
      <c r="L228" s="13"/>
      <c r="M228" s="8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hidden="1">
      <c r="A229" s="88"/>
      <c r="B229" s="88"/>
      <c r="C229" s="88"/>
      <c r="D229" s="90">
        <v>1.0</v>
      </c>
      <c r="E229" s="80" t="s">
        <v>211</v>
      </c>
      <c r="F229" s="78"/>
      <c r="G229" s="78"/>
      <c r="H229" s="13"/>
      <c r="I229" s="13"/>
      <c r="J229" s="13"/>
      <c r="K229" s="13"/>
      <c r="L229" s="13"/>
      <c r="M229" s="8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hidden="1">
      <c r="A230" s="88"/>
      <c r="B230" s="88"/>
      <c r="C230" s="88"/>
      <c r="D230" s="88">
        <v>1.0</v>
      </c>
      <c r="E230" s="13" t="s">
        <v>159</v>
      </c>
      <c r="F230" s="78"/>
      <c r="G230" s="78"/>
      <c r="H230" s="13"/>
      <c r="I230" s="13"/>
      <c r="J230" s="13"/>
      <c r="K230" s="13"/>
      <c r="L230" s="13"/>
      <c r="M230" s="8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hidden="1">
      <c r="A231" s="88"/>
      <c r="B231" s="88"/>
      <c r="C231" s="88"/>
      <c r="D231" s="88">
        <v>1.0</v>
      </c>
      <c r="E231" s="13" t="s">
        <v>212</v>
      </c>
      <c r="F231" s="78"/>
      <c r="G231" s="78"/>
      <c r="H231" s="13"/>
      <c r="I231" s="13"/>
      <c r="J231" s="13"/>
      <c r="K231" s="13"/>
      <c r="L231" s="13"/>
      <c r="M231" s="8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hidden="1">
      <c r="A232" s="90"/>
      <c r="B232" s="90"/>
      <c r="C232" s="90"/>
      <c r="D232" s="88">
        <v>1.0</v>
      </c>
      <c r="E232" s="93" t="s">
        <v>213</v>
      </c>
      <c r="F232" s="78"/>
      <c r="G232" s="78"/>
      <c r="H232" s="13"/>
      <c r="I232" s="13"/>
      <c r="J232" s="13"/>
      <c r="K232" s="13"/>
      <c r="L232" s="13"/>
      <c r="M232" s="8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hidden="1">
      <c r="A233" s="90"/>
      <c r="B233" s="90"/>
      <c r="C233" s="90"/>
      <c r="D233" s="88">
        <v>1.0</v>
      </c>
      <c r="E233" s="80" t="s">
        <v>214</v>
      </c>
      <c r="F233" s="78"/>
      <c r="G233" s="78"/>
      <c r="H233" s="13"/>
      <c r="I233" s="13"/>
      <c r="J233" s="13"/>
      <c r="K233" s="13"/>
      <c r="L233" s="13"/>
      <c r="M233" s="8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hidden="1">
      <c r="A234" s="90"/>
      <c r="B234" s="90"/>
      <c r="C234" s="90"/>
      <c r="D234" s="90">
        <v>1.0</v>
      </c>
      <c r="E234" s="80" t="s">
        <v>215</v>
      </c>
      <c r="F234" s="78"/>
      <c r="G234" s="78"/>
      <c r="H234" s="13"/>
      <c r="I234" s="13"/>
      <c r="J234" s="13"/>
      <c r="K234" s="13"/>
      <c r="L234" s="13"/>
      <c r="M234" s="8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hidden="1">
      <c r="A235" s="90"/>
      <c r="B235" s="90"/>
      <c r="C235" s="90"/>
      <c r="D235" s="90">
        <v>1.0</v>
      </c>
      <c r="E235" s="80" t="s">
        <v>216</v>
      </c>
      <c r="F235" s="78"/>
      <c r="G235" s="78"/>
      <c r="H235" s="13"/>
      <c r="I235" s="13"/>
      <c r="J235" s="13"/>
      <c r="K235" s="13"/>
      <c r="L235" s="13"/>
      <c r="M235" s="8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hidden="1">
      <c r="A236" s="13"/>
      <c r="B236" s="13"/>
      <c r="C236" s="13"/>
      <c r="D236" s="90">
        <v>1.0</v>
      </c>
      <c r="E236" s="94" t="s">
        <v>205</v>
      </c>
      <c r="F236" s="78"/>
      <c r="G236" s="78"/>
      <c r="H236" s="13"/>
      <c r="I236" s="13"/>
      <c r="J236" s="13"/>
      <c r="K236" s="13"/>
      <c r="L236" s="13"/>
      <c r="M236" s="8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hidden="1">
      <c r="A237" s="13"/>
      <c r="B237" s="13"/>
      <c r="C237" s="13"/>
      <c r="D237" s="90">
        <v>1.0</v>
      </c>
      <c r="E237" s="80" t="s">
        <v>217</v>
      </c>
      <c r="F237" s="78"/>
      <c r="G237" s="78"/>
      <c r="H237" s="13"/>
      <c r="I237" s="13"/>
      <c r="J237" s="13"/>
      <c r="K237" s="13"/>
      <c r="L237" s="13"/>
      <c r="M237" s="8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hidden="1">
      <c r="A238" s="13"/>
      <c r="B238" s="13"/>
      <c r="C238" s="13"/>
      <c r="D238" s="90">
        <v>1.0</v>
      </c>
      <c r="E238" s="94" t="s">
        <v>218</v>
      </c>
      <c r="F238" s="78"/>
      <c r="G238" s="78"/>
      <c r="H238" s="13"/>
      <c r="I238" s="13"/>
      <c r="J238" s="13"/>
      <c r="K238" s="13"/>
      <c r="L238" s="13"/>
      <c r="M238" s="8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hidden="1">
      <c r="A239" s="13"/>
      <c r="B239" s="13"/>
      <c r="C239" s="13"/>
      <c r="D239" s="90">
        <v>1.0</v>
      </c>
      <c r="E239" s="80" t="s">
        <v>219</v>
      </c>
      <c r="F239" s="78"/>
      <c r="G239" s="78"/>
      <c r="H239" s="13"/>
      <c r="I239" s="13"/>
      <c r="J239" s="13"/>
      <c r="K239" s="13"/>
      <c r="L239" s="13"/>
      <c r="M239" s="8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hidden="1">
      <c r="A240" s="13"/>
      <c r="B240" s="13"/>
      <c r="C240" s="13"/>
      <c r="D240" s="90">
        <v>1.0</v>
      </c>
      <c r="E240" s="80" t="s">
        <v>220</v>
      </c>
      <c r="F240" s="78"/>
      <c r="G240" s="78"/>
      <c r="H240" s="13"/>
      <c r="I240" s="13"/>
      <c r="J240" s="13"/>
      <c r="K240" s="13"/>
      <c r="L240" s="13"/>
      <c r="M240" s="8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hidden="1">
      <c r="A241" s="13"/>
      <c r="B241" s="13"/>
      <c r="C241" s="13"/>
      <c r="D241" s="90">
        <v>1.0</v>
      </c>
      <c r="E241" s="80" t="s">
        <v>221</v>
      </c>
      <c r="F241" s="78"/>
      <c r="G241" s="78"/>
      <c r="H241" s="13"/>
      <c r="I241" s="13"/>
      <c r="J241" s="13"/>
      <c r="K241" s="13"/>
      <c r="L241" s="13"/>
      <c r="M241" s="8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hidden="1">
      <c r="A242" s="13"/>
      <c r="B242" s="13"/>
      <c r="C242" s="13"/>
      <c r="D242" s="90">
        <v>1.0</v>
      </c>
      <c r="E242" s="80" t="s">
        <v>222</v>
      </c>
      <c r="F242" s="78"/>
      <c r="G242" s="78"/>
      <c r="H242" s="13"/>
      <c r="I242" s="13"/>
      <c r="J242" s="13"/>
      <c r="K242" s="13"/>
      <c r="L242" s="13"/>
      <c r="M242" s="8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hidden="1">
      <c r="A243" s="13"/>
      <c r="B243" s="13"/>
      <c r="C243" s="13"/>
      <c r="D243" s="90">
        <v>1.0</v>
      </c>
      <c r="E243" s="80" t="s">
        <v>223</v>
      </c>
      <c r="F243" s="78"/>
      <c r="G243" s="78"/>
      <c r="H243" s="13"/>
      <c r="I243" s="13"/>
      <c r="J243" s="13"/>
      <c r="K243" s="13"/>
      <c r="L243" s="13"/>
      <c r="M243" s="8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hidden="1">
      <c r="A244" s="13"/>
      <c r="B244" s="13"/>
      <c r="C244" s="13"/>
      <c r="D244" s="90">
        <v>1.0</v>
      </c>
      <c r="E244" s="80" t="s">
        <v>224</v>
      </c>
      <c r="F244" s="78"/>
      <c r="G244" s="78"/>
      <c r="H244" s="13"/>
      <c r="I244" s="13"/>
      <c r="J244" s="13"/>
      <c r="K244" s="13"/>
      <c r="L244" s="13"/>
      <c r="M244" s="8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hidden="1">
      <c r="A245" s="13"/>
      <c r="B245" s="13"/>
      <c r="C245" s="13"/>
      <c r="D245" s="90">
        <v>1.0</v>
      </c>
      <c r="E245" s="80" t="s">
        <v>225</v>
      </c>
      <c r="F245" s="78"/>
      <c r="G245" s="78"/>
      <c r="H245" s="13"/>
      <c r="I245" s="13"/>
      <c r="J245" s="13"/>
      <c r="K245" s="13"/>
      <c r="L245" s="13"/>
      <c r="M245" s="8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hidden="1">
      <c r="A246" s="13"/>
      <c r="B246" s="13"/>
      <c r="C246" s="13"/>
      <c r="D246" s="90">
        <v>1.0</v>
      </c>
      <c r="E246" s="80" t="s">
        <v>226</v>
      </c>
      <c r="F246" s="78"/>
      <c r="G246" s="78"/>
      <c r="H246" s="13"/>
      <c r="I246" s="13"/>
      <c r="J246" s="13"/>
      <c r="K246" s="13"/>
      <c r="L246" s="13"/>
      <c r="M246" s="8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hidden="1">
      <c r="A247" s="13"/>
      <c r="B247" s="13"/>
      <c r="C247" s="13"/>
      <c r="D247" s="90">
        <v>1.0</v>
      </c>
      <c r="E247" s="80" t="s">
        <v>221</v>
      </c>
      <c r="F247" s="78"/>
      <c r="G247" s="78"/>
      <c r="H247" s="13"/>
      <c r="I247" s="13"/>
      <c r="J247" s="13"/>
      <c r="K247" s="13"/>
      <c r="L247" s="13"/>
      <c r="M247" s="8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hidden="1">
      <c r="A248" s="13"/>
      <c r="B248" s="13"/>
      <c r="C248" s="13"/>
      <c r="D248" s="90">
        <v>1.0</v>
      </c>
      <c r="E248" s="80" t="s">
        <v>227</v>
      </c>
      <c r="F248" s="78"/>
      <c r="G248" s="78"/>
      <c r="H248" s="13"/>
      <c r="I248" s="13"/>
      <c r="J248" s="13"/>
      <c r="K248" s="13"/>
      <c r="L248" s="13"/>
      <c r="M248" s="8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hidden="1">
      <c r="A249" s="13"/>
      <c r="B249" s="13"/>
      <c r="C249" s="13"/>
      <c r="D249" s="90">
        <v>1.0</v>
      </c>
      <c r="E249" s="80" t="s">
        <v>228</v>
      </c>
      <c r="F249" s="78"/>
      <c r="G249" s="78"/>
      <c r="H249" s="13"/>
      <c r="I249" s="13"/>
      <c r="J249" s="13"/>
      <c r="K249" s="13"/>
      <c r="L249" s="13"/>
      <c r="M249" s="8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hidden="1">
      <c r="A250" s="13"/>
      <c r="B250" s="13"/>
      <c r="C250" s="13"/>
      <c r="D250" s="90">
        <v>1.0</v>
      </c>
      <c r="E250" s="80" t="s">
        <v>229</v>
      </c>
      <c r="F250" s="78"/>
      <c r="G250" s="78"/>
      <c r="H250" s="13"/>
      <c r="I250" s="13"/>
      <c r="J250" s="13"/>
      <c r="K250" s="13"/>
      <c r="L250" s="13"/>
      <c r="M250" s="8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hidden="1">
      <c r="A251" s="13"/>
      <c r="B251" s="13"/>
      <c r="C251" s="13"/>
      <c r="D251" s="90">
        <v>1.0</v>
      </c>
      <c r="E251" s="80" t="s">
        <v>230</v>
      </c>
      <c r="F251" s="78"/>
      <c r="G251" s="78"/>
      <c r="H251" s="13"/>
      <c r="I251" s="13"/>
      <c r="J251" s="13"/>
      <c r="K251" s="13"/>
      <c r="L251" s="13"/>
      <c r="M251" s="8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hidden="1">
      <c r="A252" s="13"/>
      <c r="B252" s="13"/>
      <c r="C252" s="13"/>
      <c r="D252" s="90">
        <v>1.0</v>
      </c>
      <c r="E252" s="80" t="s">
        <v>231</v>
      </c>
      <c r="F252" s="78"/>
      <c r="G252" s="78"/>
      <c r="H252" s="13"/>
      <c r="I252" s="13"/>
      <c r="J252" s="13"/>
      <c r="K252" s="13"/>
      <c r="L252" s="13"/>
      <c r="M252" s="8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hidden="1">
      <c r="A253" s="13"/>
      <c r="B253" s="13"/>
      <c r="C253" s="13"/>
      <c r="D253" s="90">
        <v>1.0</v>
      </c>
      <c r="E253" s="80" t="s">
        <v>232</v>
      </c>
      <c r="F253" s="78"/>
      <c r="G253" s="78"/>
      <c r="H253" s="13"/>
      <c r="I253" s="13"/>
      <c r="J253" s="13"/>
      <c r="K253" s="13"/>
      <c r="L253" s="13"/>
      <c r="M253" s="8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hidden="1">
      <c r="A254" s="13"/>
      <c r="B254" s="13"/>
      <c r="C254" s="13"/>
      <c r="D254" s="90">
        <v>1.0</v>
      </c>
      <c r="E254" s="80" t="s">
        <v>233</v>
      </c>
      <c r="F254" s="78"/>
      <c r="G254" s="78"/>
      <c r="H254" s="13"/>
      <c r="I254" s="13"/>
      <c r="J254" s="13"/>
      <c r="K254" s="13"/>
      <c r="L254" s="13"/>
      <c r="M254" s="8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hidden="1">
      <c r="A255" s="13"/>
      <c r="B255" s="13"/>
      <c r="C255" s="13"/>
      <c r="D255" s="90">
        <v>1.0</v>
      </c>
      <c r="E255" s="80" t="s">
        <v>234</v>
      </c>
      <c r="F255" s="78"/>
      <c r="G255" s="78"/>
      <c r="H255" s="13"/>
      <c r="I255" s="13"/>
      <c r="J255" s="13"/>
      <c r="K255" s="13"/>
      <c r="L255" s="13"/>
      <c r="M255" s="8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hidden="1">
      <c r="A256" s="13"/>
      <c r="B256" s="13"/>
      <c r="C256" s="13"/>
      <c r="D256" s="90">
        <v>1.0</v>
      </c>
      <c r="E256" s="80" t="s">
        <v>235</v>
      </c>
      <c r="F256" s="78"/>
      <c r="G256" s="78"/>
      <c r="H256" s="13"/>
      <c r="I256" s="13"/>
      <c r="J256" s="13"/>
      <c r="K256" s="13"/>
      <c r="L256" s="13"/>
      <c r="M256" s="8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hidden="1">
      <c r="A257" s="13"/>
      <c r="B257" s="13"/>
      <c r="C257" s="13"/>
      <c r="D257" s="90">
        <v>1.0</v>
      </c>
      <c r="E257" s="80" t="s">
        <v>236</v>
      </c>
      <c r="F257" s="78"/>
      <c r="G257" s="78"/>
      <c r="H257" s="13"/>
      <c r="I257" s="13"/>
      <c r="J257" s="13"/>
      <c r="K257" s="13"/>
      <c r="L257" s="13"/>
      <c r="M257" s="8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hidden="1">
      <c r="A258" s="13"/>
      <c r="B258" s="13"/>
      <c r="C258" s="13"/>
      <c r="D258" s="90">
        <v>1.0</v>
      </c>
      <c r="E258" s="80" t="s">
        <v>237</v>
      </c>
      <c r="F258" s="78"/>
      <c r="G258" s="78"/>
      <c r="H258" s="13"/>
      <c r="I258" s="13"/>
      <c r="J258" s="13"/>
      <c r="K258" s="13"/>
      <c r="L258" s="13"/>
      <c r="M258" s="8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hidden="1">
      <c r="A259" s="13"/>
      <c r="B259" s="13"/>
      <c r="C259" s="13"/>
      <c r="D259" s="90">
        <v>1.0</v>
      </c>
      <c r="E259" s="80" t="s">
        <v>238</v>
      </c>
      <c r="F259" s="78"/>
      <c r="G259" s="78"/>
      <c r="H259" s="13"/>
      <c r="I259" s="13"/>
      <c r="J259" s="13"/>
      <c r="K259" s="13"/>
      <c r="L259" s="13"/>
      <c r="M259" s="8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hidden="1">
      <c r="A260" s="13"/>
      <c r="B260" s="13"/>
      <c r="C260" s="13"/>
      <c r="D260" s="90">
        <v>1.0</v>
      </c>
      <c r="E260" s="80" t="s">
        <v>239</v>
      </c>
      <c r="F260" s="78"/>
      <c r="G260" s="78"/>
      <c r="H260" s="13"/>
      <c r="I260" s="13"/>
      <c r="J260" s="13"/>
      <c r="K260" s="13"/>
      <c r="L260" s="13"/>
      <c r="M260" s="8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hidden="1">
      <c r="A261" s="13"/>
      <c r="B261" s="13"/>
      <c r="C261" s="13"/>
      <c r="D261" s="90">
        <v>1.0</v>
      </c>
      <c r="E261" s="80" t="s">
        <v>240</v>
      </c>
      <c r="F261" s="78"/>
      <c r="G261" s="78"/>
      <c r="H261" s="13"/>
      <c r="I261" s="13"/>
      <c r="J261" s="13"/>
      <c r="K261" s="13"/>
      <c r="L261" s="13"/>
      <c r="M261" s="8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hidden="1">
      <c r="A262" s="13"/>
      <c r="B262" s="13"/>
      <c r="C262" s="13"/>
      <c r="D262" s="90">
        <v>1.0</v>
      </c>
      <c r="E262" s="80" t="s">
        <v>241</v>
      </c>
      <c r="F262" s="78"/>
      <c r="G262" s="78"/>
      <c r="H262" s="13"/>
      <c r="I262" s="13"/>
      <c r="J262" s="13"/>
      <c r="K262" s="13"/>
      <c r="L262" s="13"/>
      <c r="M262" s="8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hidden="1">
      <c r="A263" s="13"/>
      <c r="B263" s="13"/>
      <c r="C263" s="13"/>
      <c r="D263" s="90">
        <v>1.0</v>
      </c>
      <c r="E263" s="95" t="s">
        <v>242</v>
      </c>
      <c r="F263" s="78"/>
      <c r="G263" s="78"/>
      <c r="H263" s="13"/>
      <c r="I263" s="13"/>
      <c r="J263" s="13"/>
      <c r="K263" s="13"/>
      <c r="L263" s="13"/>
      <c r="M263" s="8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hidden="1">
      <c r="A264" s="13"/>
      <c r="B264" s="13"/>
      <c r="C264" s="13"/>
      <c r="D264" s="90">
        <v>1.0</v>
      </c>
      <c r="E264" s="96" t="s">
        <v>243</v>
      </c>
      <c r="F264" s="78"/>
      <c r="G264" s="78"/>
      <c r="H264" s="13"/>
      <c r="I264" s="13"/>
      <c r="J264" s="13"/>
      <c r="K264" s="13"/>
      <c r="L264" s="13"/>
      <c r="M264" s="8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hidden="1">
      <c r="A265" s="13"/>
      <c r="B265" s="13"/>
      <c r="C265" s="13"/>
      <c r="D265" s="90">
        <v>1.0</v>
      </c>
      <c r="E265" s="80" t="s">
        <v>244</v>
      </c>
      <c r="F265" s="78"/>
      <c r="G265" s="78"/>
      <c r="H265" s="13"/>
      <c r="I265" s="13"/>
      <c r="J265" s="13"/>
      <c r="K265" s="13"/>
      <c r="L265" s="13"/>
      <c r="M265" s="8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hidden="1">
      <c r="A266" s="13"/>
      <c r="B266" s="13"/>
      <c r="C266" s="13"/>
      <c r="D266" s="90">
        <v>1.0</v>
      </c>
      <c r="E266" s="80" t="s">
        <v>245</v>
      </c>
      <c r="F266" s="78"/>
      <c r="G266" s="78"/>
      <c r="H266" s="13"/>
      <c r="I266" s="13"/>
      <c r="J266" s="13"/>
      <c r="K266" s="13"/>
      <c r="L266" s="13"/>
      <c r="M266" s="8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hidden="1">
      <c r="A267" s="13"/>
      <c r="B267" s="13"/>
      <c r="C267" s="13"/>
      <c r="D267" s="90">
        <v>1.0</v>
      </c>
      <c r="E267" s="80" t="s">
        <v>246</v>
      </c>
      <c r="F267" s="78"/>
      <c r="G267" s="78"/>
      <c r="H267" s="13"/>
      <c r="I267" s="13"/>
      <c r="J267" s="13"/>
      <c r="K267" s="13"/>
      <c r="L267" s="13"/>
      <c r="M267" s="8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hidden="1">
      <c r="A268" s="13"/>
      <c r="B268" s="13"/>
      <c r="C268" s="13"/>
      <c r="D268" s="90">
        <v>1.0</v>
      </c>
      <c r="E268" s="80" t="s">
        <v>247</v>
      </c>
      <c r="F268" s="78"/>
      <c r="G268" s="78"/>
      <c r="H268" s="13"/>
      <c r="I268" s="13"/>
      <c r="J268" s="13"/>
      <c r="K268" s="13"/>
      <c r="L268" s="13"/>
      <c r="M268" s="8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hidden="1">
      <c r="A269" s="13"/>
      <c r="B269" s="13"/>
      <c r="C269" s="13"/>
      <c r="D269" s="90">
        <v>1.0</v>
      </c>
      <c r="E269" s="80" t="s">
        <v>248</v>
      </c>
      <c r="F269" s="78"/>
      <c r="G269" s="78"/>
      <c r="H269" s="13"/>
      <c r="I269" s="13"/>
      <c r="J269" s="13"/>
      <c r="K269" s="13"/>
      <c r="L269" s="13"/>
      <c r="M269" s="8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hidden="1">
      <c r="A270" s="13"/>
      <c r="B270" s="13"/>
      <c r="C270" s="13"/>
      <c r="D270" s="90">
        <v>1.0</v>
      </c>
      <c r="E270" s="80" t="s">
        <v>249</v>
      </c>
      <c r="F270" s="78"/>
      <c r="G270" s="78"/>
      <c r="H270" s="13"/>
      <c r="I270" s="13"/>
      <c r="J270" s="13"/>
      <c r="K270" s="13"/>
      <c r="L270" s="13"/>
      <c r="M270" s="8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hidden="1">
      <c r="A271" s="13"/>
      <c r="B271" s="13"/>
      <c r="C271" s="13"/>
      <c r="D271" s="90">
        <v>1.0</v>
      </c>
      <c r="E271" s="80" t="s">
        <v>123</v>
      </c>
      <c r="F271" s="78"/>
      <c r="G271" s="78"/>
      <c r="H271" s="13"/>
      <c r="I271" s="13"/>
      <c r="J271" s="13"/>
      <c r="K271" s="13"/>
      <c r="L271" s="13"/>
      <c r="M271" s="8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hidden="1">
      <c r="A272" s="13"/>
      <c r="B272" s="13"/>
      <c r="C272" s="13"/>
      <c r="D272" s="90">
        <v>1.0</v>
      </c>
      <c r="E272" s="80" t="s">
        <v>250</v>
      </c>
      <c r="F272" s="78"/>
      <c r="G272" s="78"/>
      <c r="H272" s="13"/>
      <c r="I272" s="13"/>
      <c r="J272" s="13"/>
      <c r="K272" s="13"/>
      <c r="L272" s="13"/>
      <c r="M272" s="8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hidden="1">
      <c r="A273" s="13"/>
      <c r="B273" s="13"/>
      <c r="C273" s="13"/>
      <c r="D273" s="90">
        <v>0.24</v>
      </c>
      <c r="E273" s="80" t="s">
        <v>251</v>
      </c>
      <c r="F273" s="78"/>
      <c r="G273" s="78"/>
      <c r="H273" s="13"/>
      <c r="I273" s="13"/>
      <c r="J273" s="13"/>
      <c r="K273" s="13"/>
      <c r="L273" s="13"/>
      <c r="M273" s="8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hidden="1">
      <c r="A274" s="13"/>
      <c r="B274" s="13"/>
      <c r="C274" s="13"/>
      <c r="D274" s="90">
        <v>1.0</v>
      </c>
      <c r="E274" s="80" t="s">
        <v>252</v>
      </c>
      <c r="F274" s="78"/>
      <c r="G274" s="78"/>
      <c r="H274" s="13"/>
      <c r="I274" s="13"/>
      <c r="J274" s="13"/>
      <c r="K274" s="13"/>
      <c r="L274" s="13"/>
      <c r="M274" s="8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hidden="1">
      <c r="A275" s="13"/>
      <c r="B275" s="13"/>
      <c r="C275" s="13"/>
      <c r="D275" s="90">
        <v>1.0</v>
      </c>
      <c r="E275" s="80" t="s">
        <v>253</v>
      </c>
      <c r="F275" s="78"/>
      <c r="G275" s="78"/>
      <c r="H275" s="13"/>
      <c r="I275" s="13"/>
      <c r="J275" s="13"/>
      <c r="K275" s="13"/>
      <c r="L275" s="13"/>
      <c r="M275" s="8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hidden="1">
      <c r="A276" s="13"/>
      <c r="B276" s="13"/>
      <c r="C276" s="13"/>
      <c r="D276" s="90">
        <v>1.0</v>
      </c>
      <c r="E276" s="80" t="s">
        <v>254</v>
      </c>
      <c r="F276" s="78"/>
      <c r="G276" s="78"/>
      <c r="H276" s="13"/>
      <c r="I276" s="13"/>
      <c r="J276" s="13"/>
      <c r="K276" s="13"/>
      <c r="L276" s="13"/>
      <c r="M276" s="8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hidden="1">
      <c r="A277" s="13"/>
      <c r="B277" s="13"/>
      <c r="C277" s="13"/>
      <c r="D277" s="90">
        <v>1.0</v>
      </c>
      <c r="E277" s="80" t="s">
        <v>255</v>
      </c>
      <c r="F277" s="78"/>
      <c r="G277" s="78"/>
      <c r="H277" s="13"/>
      <c r="I277" s="13"/>
      <c r="J277" s="13"/>
      <c r="K277" s="13"/>
      <c r="L277" s="13"/>
      <c r="M277" s="8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hidden="1">
      <c r="A278" s="13"/>
      <c r="B278" s="13"/>
      <c r="C278" s="13"/>
      <c r="D278" s="90">
        <v>1.0</v>
      </c>
      <c r="E278" s="80" t="s">
        <v>256</v>
      </c>
      <c r="F278" s="78"/>
      <c r="G278" s="78"/>
      <c r="H278" s="13"/>
      <c r="I278" s="13"/>
      <c r="J278" s="13"/>
      <c r="K278" s="13"/>
      <c r="L278" s="13"/>
      <c r="M278" s="8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hidden="1">
      <c r="A279" s="13"/>
      <c r="B279" s="13"/>
      <c r="C279" s="13"/>
      <c r="D279" s="90">
        <v>1.0</v>
      </c>
      <c r="E279" s="80" t="s">
        <v>257</v>
      </c>
      <c r="F279" s="78"/>
      <c r="G279" s="78"/>
      <c r="H279" s="13"/>
      <c r="I279" s="13"/>
      <c r="J279" s="13"/>
      <c r="K279" s="13"/>
      <c r="L279" s="13"/>
      <c r="M279" s="8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hidden="1">
      <c r="A280" s="13"/>
      <c r="B280" s="13"/>
      <c r="C280" s="13"/>
      <c r="D280" s="90">
        <v>1.0</v>
      </c>
      <c r="E280" s="80" t="s">
        <v>258</v>
      </c>
      <c r="F280" s="78"/>
      <c r="G280" s="78"/>
      <c r="H280" s="13"/>
      <c r="I280" s="13"/>
      <c r="J280" s="13"/>
      <c r="K280" s="13"/>
      <c r="L280" s="13"/>
      <c r="M280" s="8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hidden="1">
      <c r="A281" s="13"/>
      <c r="B281" s="13"/>
      <c r="C281" s="13"/>
      <c r="D281" s="90">
        <v>1.0</v>
      </c>
      <c r="E281" s="80" t="s">
        <v>259</v>
      </c>
      <c r="F281" s="78"/>
      <c r="G281" s="78"/>
      <c r="H281" s="13"/>
      <c r="I281" s="13"/>
      <c r="J281" s="13"/>
      <c r="K281" s="13"/>
      <c r="L281" s="13"/>
      <c r="M281" s="8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hidden="1">
      <c r="A282" s="13"/>
      <c r="B282" s="13"/>
      <c r="C282" s="13"/>
      <c r="D282" s="90">
        <v>1.0</v>
      </c>
      <c r="E282" s="80" t="s">
        <v>260</v>
      </c>
      <c r="F282" s="78"/>
      <c r="G282" s="78"/>
      <c r="H282" s="13"/>
      <c r="I282" s="13"/>
      <c r="J282" s="13"/>
      <c r="K282" s="13"/>
      <c r="L282" s="13"/>
      <c r="M282" s="8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hidden="1">
      <c r="A283" s="13"/>
      <c r="B283" s="13"/>
      <c r="C283" s="13"/>
      <c r="D283" s="90">
        <v>1.0</v>
      </c>
      <c r="E283" s="80" t="s">
        <v>261</v>
      </c>
      <c r="F283" s="78"/>
      <c r="G283" s="78"/>
      <c r="H283" s="13"/>
      <c r="I283" s="13"/>
      <c r="J283" s="13"/>
      <c r="K283" s="13"/>
      <c r="L283" s="13"/>
      <c r="M283" s="8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hidden="1">
      <c r="A284" s="13"/>
      <c r="B284" s="13"/>
      <c r="C284" s="13"/>
      <c r="D284" s="90">
        <v>1.0</v>
      </c>
      <c r="E284" s="80" t="s">
        <v>262</v>
      </c>
      <c r="F284" s="78"/>
      <c r="G284" s="78"/>
      <c r="H284" s="13"/>
      <c r="I284" s="13"/>
      <c r="J284" s="13"/>
      <c r="K284" s="13"/>
      <c r="L284" s="13"/>
      <c r="M284" s="8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hidden="1">
      <c r="A285" s="13"/>
      <c r="B285" s="13"/>
      <c r="C285" s="13"/>
      <c r="D285" s="90">
        <v>1.0</v>
      </c>
      <c r="E285" s="80" t="s">
        <v>263</v>
      </c>
      <c r="F285" s="78"/>
      <c r="G285" s="78"/>
      <c r="H285" s="13"/>
      <c r="I285" s="13"/>
      <c r="J285" s="13"/>
      <c r="K285" s="13"/>
      <c r="L285" s="13"/>
      <c r="M285" s="8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hidden="1">
      <c r="A286" s="13"/>
      <c r="B286" s="13"/>
      <c r="C286" s="13"/>
      <c r="D286" s="90">
        <v>1.0</v>
      </c>
      <c r="E286" s="80" t="s">
        <v>264</v>
      </c>
      <c r="F286" s="78"/>
      <c r="G286" s="78"/>
      <c r="H286" s="13"/>
      <c r="I286" s="13"/>
      <c r="J286" s="13"/>
      <c r="K286" s="13"/>
      <c r="L286" s="13"/>
      <c r="M286" s="8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hidden="1">
      <c r="A287" s="13"/>
      <c r="B287" s="13"/>
      <c r="C287" s="13"/>
      <c r="D287" s="90">
        <v>1.0</v>
      </c>
      <c r="E287" s="80" t="s">
        <v>265</v>
      </c>
      <c r="F287" s="78"/>
      <c r="G287" s="78"/>
      <c r="H287" s="13"/>
      <c r="I287" s="13"/>
      <c r="J287" s="13"/>
      <c r="K287" s="13"/>
      <c r="L287" s="13"/>
      <c r="M287" s="8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hidden="1">
      <c r="A288" s="13"/>
      <c r="B288" s="13"/>
      <c r="C288" s="13"/>
      <c r="D288" s="90">
        <v>1.0</v>
      </c>
      <c r="E288" s="80" t="s">
        <v>266</v>
      </c>
      <c r="F288" s="78"/>
      <c r="G288" s="78"/>
      <c r="H288" s="13"/>
      <c r="I288" s="13"/>
      <c r="J288" s="13"/>
      <c r="K288" s="13"/>
      <c r="L288" s="13"/>
      <c r="M288" s="8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hidden="1">
      <c r="A289" s="13"/>
      <c r="B289" s="13"/>
      <c r="C289" s="13"/>
      <c r="D289" s="90">
        <v>1.0</v>
      </c>
      <c r="E289" s="80" t="s">
        <v>267</v>
      </c>
      <c r="F289" s="78"/>
      <c r="G289" s="78"/>
      <c r="H289" s="13"/>
      <c r="I289" s="13"/>
      <c r="J289" s="13"/>
      <c r="K289" s="13"/>
      <c r="L289" s="13"/>
      <c r="M289" s="8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hidden="1">
      <c r="A290" s="13"/>
      <c r="B290" s="13"/>
      <c r="C290" s="13"/>
      <c r="D290" s="90">
        <v>1.0</v>
      </c>
      <c r="E290" s="80" t="s">
        <v>268</v>
      </c>
      <c r="F290" s="78"/>
      <c r="G290" s="78"/>
      <c r="H290" s="13"/>
      <c r="I290" s="13"/>
      <c r="J290" s="13"/>
      <c r="K290" s="13"/>
      <c r="L290" s="13"/>
      <c r="M290" s="8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hidden="1">
      <c r="D291" s="90">
        <v>1.0</v>
      </c>
      <c r="E291" s="80" t="s">
        <v>269</v>
      </c>
      <c r="M291" s="97"/>
      <c r="AG291" s="13"/>
    </row>
    <row r="292" hidden="1">
      <c r="A292" s="13"/>
      <c r="B292" s="13"/>
      <c r="C292" s="13"/>
      <c r="D292" s="90">
        <v>1.0</v>
      </c>
      <c r="E292" s="80" t="s">
        <v>270</v>
      </c>
      <c r="F292" s="78"/>
      <c r="G292" s="78"/>
      <c r="H292" s="13"/>
      <c r="I292" s="13"/>
      <c r="J292" s="13"/>
      <c r="K292" s="13"/>
      <c r="L292" s="13"/>
      <c r="M292" s="8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hidden="1">
      <c r="A293" s="13"/>
      <c r="B293" s="13"/>
      <c r="C293" s="13"/>
      <c r="D293" s="98">
        <v>1.0</v>
      </c>
      <c r="E293" s="99" t="s">
        <v>271</v>
      </c>
      <c r="F293" s="78"/>
      <c r="G293" s="78"/>
      <c r="H293" s="13"/>
      <c r="I293" s="13"/>
      <c r="J293" s="13"/>
      <c r="K293" s="13"/>
      <c r="L293" s="13"/>
      <c r="M293" s="8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hidden="1">
      <c r="A294" s="13"/>
      <c r="B294" s="13"/>
      <c r="C294" s="13"/>
      <c r="D294" s="90">
        <v>1.0</v>
      </c>
      <c r="E294" s="80" t="s">
        <v>272</v>
      </c>
      <c r="F294" s="78"/>
      <c r="G294" s="78"/>
      <c r="H294" s="13"/>
      <c r="I294" s="13"/>
      <c r="J294" s="13"/>
      <c r="K294" s="13"/>
      <c r="L294" s="13"/>
      <c r="M294" s="8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hidden="1">
      <c r="A295" s="13"/>
      <c r="B295" s="13"/>
      <c r="C295" s="13"/>
      <c r="D295" s="90">
        <v>1.0</v>
      </c>
      <c r="E295" s="80" t="s">
        <v>273</v>
      </c>
      <c r="F295" s="78"/>
      <c r="G295" s="78"/>
      <c r="H295" s="13"/>
      <c r="I295" s="13"/>
      <c r="J295" s="13"/>
      <c r="K295" s="13"/>
      <c r="L295" s="13"/>
      <c r="M295" s="8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hidden="1">
      <c r="A296" s="13"/>
      <c r="B296" s="13"/>
      <c r="C296" s="13"/>
      <c r="D296" s="90">
        <v>1.0</v>
      </c>
      <c r="E296" s="80" t="s">
        <v>274</v>
      </c>
      <c r="F296" s="78"/>
      <c r="G296" s="78"/>
      <c r="H296" s="13"/>
      <c r="I296" s="13"/>
      <c r="J296" s="13"/>
      <c r="K296" s="13"/>
      <c r="L296" s="13"/>
      <c r="M296" s="8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hidden="1">
      <c r="A297" s="13"/>
      <c r="B297" s="13"/>
      <c r="C297" s="13"/>
      <c r="D297" s="90">
        <v>1.0</v>
      </c>
      <c r="E297" s="80" t="s">
        <v>275</v>
      </c>
      <c r="F297" s="78"/>
      <c r="G297" s="78"/>
      <c r="H297" s="13"/>
      <c r="I297" s="13"/>
      <c r="J297" s="13"/>
      <c r="K297" s="13"/>
      <c r="L297" s="13"/>
      <c r="M297" s="8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hidden="1">
      <c r="A298" s="13"/>
      <c r="B298" s="13"/>
      <c r="C298" s="13"/>
      <c r="D298" s="90">
        <v>1.0</v>
      </c>
      <c r="E298" s="80" t="s">
        <v>276</v>
      </c>
      <c r="F298" s="78"/>
      <c r="G298" s="78"/>
      <c r="H298" s="13"/>
      <c r="I298" s="13"/>
      <c r="J298" s="13"/>
      <c r="K298" s="13"/>
      <c r="L298" s="13"/>
      <c r="M298" s="8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hidden="1">
      <c r="A299" s="13"/>
      <c r="B299" s="13"/>
      <c r="C299" s="13"/>
      <c r="D299" s="90">
        <v>1.0</v>
      </c>
      <c r="E299" s="80" t="s">
        <v>277</v>
      </c>
      <c r="F299" s="78"/>
      <c r="G299" s="78"/>
      <c r="H299" s="13"/>
      <c r="I299" s="13"/>
      <c r="J299" s="13"/>
      <c r="K299" s="13"/>
      <c r="L299" s="13"/>
      <c r="M299" s="8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hidden="1">
      <c r="A300" s="13"/>
      <c r="B300" s="13"/>
      <c r="C300" s="13"/>
      <c r="D300" s="90">
        <v>1.0</v>
      </c>
      <c r="E300" s="80" t="s">
        <v>278</v>
      </c>
      <c r="F300" s="78"/>
      <c r="G300" s="78"/>
      <c r="H300" s="13"/>
      <c r="I300" s="13"/>
      <c r="J300" s="13"/>
      <c r="K300" s="13"/>
      <c r="L300" s="13"/>
      <c r="M300" s="8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hidden="1">
      <c r="A301" s="13"/>
      <c r="B301" s="13"/>
      <c r="C301" s="13"/>
      <c r="D301" s="90">
        <v>1.0</v>
      </c>
      <c r="E301" s="80" t="s">
        <v>279</v>
      </c>
      <c r="F301" s="78"/>
      <c r="G301" s="78"/>
      <c r="H301" s="13"/>
      <c r="I301" s="13"/>
      <c r="J301" s="13"/>
      <c r="K301" s="13"/>
      <c r="L301" s="13"/>
      <c r="M301" s="8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hidden="1">
      <c r="A302" s="13"/>
      <c r="B302" s="13"/>
      <c r="C302" s="13"/>
      <c r="D302" s="90">
        <v>1.0</v>
      </c>
      <c r="E302" s="80" t="s">
        <v>280</v>
      </c>
      <c r="F302" s="78"/>
      <c r="G302" s="78"/>
      <c r="H302" s="13"/>
      <c r="I302" s="13"/>
      <c r="J302" s="13"/>
      <c r="K302" s="13"/>
      <c r="L302" s="13"/>
      <c r="M302" s="8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hidden="1">
      <c r="A303" s="13"/>
      <c r="B303" s="13"/>
      <c r="C303" s="13"/>
      <c r="D303" s="90">
        <v>1.0</v>
      </c>
      <c r="E303" s="80" t="s">
        <v>281</v>
      </c>
      <c r="F303" s="78"/>
      <c r="G303" s="78"/>
      <c r="H303" s="13"/>
      <c r="I303" s="13"/>
      <c r="J303" s="13"/>
      <c r="K303" s="13"/>
      <c r="L303" s="13"/>
      <c r="M303" s="8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hidden="1">
      <c r="A304" s="13"/>
      <c r="B304" s="13"/>
      <c r="C304" s="13"/>
      <c r="D304" s="90">
        <v>1.0</v>
      </c>
      <c r="E304" s="80" t="s">
        <v>282</v>
      </c>
      <c r="F304" s="78"/>
      <c r="G304" s="78"/>
      <c r="H304" s="13"/>
      <c r="I304" s="13"/>
      <c r="J304" s="13"/>
      <c r="K304" s="13"/>
      <c r="L304" s="13"/>
      <c r="M304" s="8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hidden="1">
      <c r="A305" s="13"/>
      <c r="B305" s="13"/>
      <c r="C305" s="13"/>
      <c r="D305" s="90">
        <v>1.0</v>
      </c>
      <c r="E305" s="80" t="s">
        <v>283</v>
      </c>
      <c r="F305" s="78"/>
      <c r="G305" s="78"/>
      <c r="H305" s="13"/>
      <c r="I305" s="13"/>
      <c r="J305" s="13"/>
      <c r="K305" s="13"/>
      <c r="L305" s="13"/>
      <c r="M305" s="8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hidden="1">
      <c r="A306" s="13"/>
      <c r="B306" s="13"/>
      <c r="C306" s="13"/>
      <c r="D306" s="90">
        <v>1.0</v>
      </c>
      <c r="E306" s="80" t="s">
        <v>284</v>
      </c>
      <c r="F306" s="78"/>
      <c r="G306" s="78"/>
      <c r="H306" s="13"/>
      <c r="I306" s="13"/>
      <c r="J306" s="13"/>
      <c r="K306" s="13"/>
      <c r="L306" s="13"/>
      <c r="M306" s="8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hidden="1">
      <c r="A307" s="13"/>
      <c r="B307" s="13"/>
      <c r="C307" s="13"/>
      <c r="D307" s="90">
        <v>1.0</v>
      </c>
      <c r="E307" s="80" t="s">
        <v>285</v>
      </c>
      <c r="F307" s="78"/>
      <c r="G307" s="78"/>
      <c r="H307" s="13"/>
      <c r="I307" s="13"/>
      <c r="J307" s="13"/>
      <c r="K307" s="13"/>
      <c r="L307" s="13"/>
      <c r="M307" s="8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hidden="1">
      <c r="A308" s="13"/>
      <c r="B308" s="13"/>
      <c r="C308" s="13"/>
      <c r="D308" s="90">
        <v>1.0</v>
      </c>
      <c r="E308" s="80" t="s">
        <v>281</v>
      </c>
      <c r="F308" s="78"/>
      <c r="G308" s="78"/>
      <c r="H308" s="13"/>
      <c r="I308" s="13"/>
      <c r="J308" s="13"/>
      <c r="K308" s="13"/>
      <c r="L308" s="13"/>
      <c r="M308" s="8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hidden="1">
      <c r="A309" s="13"/>
      <c r="B309" s="13"/>
      <c r="C309" s="13"/>
      <c r="D309" s="90">
        <v>1.0</v>
      </c>
      <c r="E309" s="80" t="s">
        <v>286</v>
      </c>
      <c r="F309" s="78"/>
      <c r="G309" s="78"/>
      <c r="H309" s="13"/>
      <c r="I309" s="13"/>
      <c r="J309" s="13"/>
      <c r="K309" s="13"/>
      <c r="L309" s="13"/>
      <c r="M309" s="8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hidden="1">
      <c r="A310" s="13"/>
      <c r="B310" s="13"/>
      <c r="C310" s="13"/>
      <c r="D310" s="90">
        <v>1.0</v>
      </c>
      <c r="E310" s="80" t="s">
        <v>287</v>
      </c>
      <c r="F310" s="78"/>
      <c r="G310" s="78"/>
      <c r="H310" s="13"/>
      <c r="I310" s="13"/>
      <c r="J310" s="13"/>
      <c r="K310" s="13"/>
      <c r="L310" s="13"/>
      <c r="M310" s="8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hidden="1">
      <c r="A311" s="13"/>
      <c r="B311" s="13"/>
      <c r="C311" s="13"/>
      <c r="D311" s="90">
        <v>1.0</v>
      </c>
      <c r="E311" s="80" t="s">
        <v>288</v>
      </c>
      <c r="F311" s="78"/>
      <c r="G311" s="78"/>
      <c r="H311" s="13"/>
      <c r="I311" s="13"/>
      <c r="J311" s="13"/>
      <c r="K311" s="13"/>
      <c r="L311" s="13"/>
      <c r="M311" s="8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hidden="1">
      <c r="A312" s="13"/>
      <c r="B312" s="13"/>
      <c r="C312" s="13"/>
      <c r="D312" s="90">
        <v>1.0</v>
      </c>
      <c r="E312" s="80" t="s">
        <v>289</v>
      </c>
      <c r="F312" s="78"/>
      <c r="G312" s="78"/>
      <c r="H312" s="13"/>
      <c r="I312" s="13"/>
      <c r="J312" s="13"/>
      <c r="K312" s="13"/>
      <c r="L312" s="13"/>
      <c r="M312" s="8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hidden="1">
      <c r="A313" s="13"/>
      <c r="B313" s="13"/>
      <c r="C313" s="13"/>
      <c r="D313" s="90">
        <v>1.0</v>
      </c>
      <c r="E313" s="80" t="s">
        <v>290</v>
      </c>
      <c r="F313" s="78"/>
      <c r="G313" s="78"/>
      <c r="H313" s="13"/>
      <c r="I313" s="13"/>
      <c r="J313" s="13"/>
      <c r="K313" s="13"/>
      <c r="L313" s="13"/>
      <c r="M313" s="8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>
      <c r="A314" s="13"/>
      <c r="B314" s="13"/>
      <c r="C314" s="13"/>
      <c r="D314" s="13"/>
      <c r="E314" s="13"/>
      <c r="F314" s="78"/>
      <c r="G314" s="78"/>
      <c r="H314" s="13"/>
      <c r="I314" s="13"/>
      <c r="J314" s="13"/>
      <c r="K314" s="13"/>
      <c r="L314" s="13"/>
      <c r="M314" s="8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>
      <c r="A315" s="13"/>
      <c r="B315" s="13"/>
      <c r="C315" s="13"/>
      <c r="D315" s="13"/>
      <c r="E315" s="13"/>
      <c r="F315" s="78"/>
      <c r="G315" s="78"/>
      <c r="H315" s="13"/>
      <c r="I315" s="13"/>
      <c r="J315" s="13"/>
      <c r="K315" s="13"/>
      <c r="L315" s="13"/>
      <c r="M315" s="8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>
      <c r="A316" s="13"/>
      <c r="B316" s="13"/>
      <c r="C316" s="13"/>
      <c r="D316" s="13"/>
      <c r="E316" s="13"/>
      <c r="F316" s="78"/>
      <c r="G316" s="78"/>
      <c r="H316" s="13"/>
      <c r="I316" s="13"/>
      <c r="J316" s="13"/>
      <c r="K316" s="13"/>
      <c r="L316" s="13"/>
      <c r="M316" s="8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>
      <c r="A317" s="13"/>
      <c r="B317" s="13"/>
      <c r="C317" s="13"/>
      <c r="D317" s="13"/>
      <c r="E317" s="13"/>
      <c r="F317" s="78"/>
      <c r="G317" s="78"/>
      <c r="H317" s="13"/>
      <c r="I317" s="13"/>
      <c r="J317" s="13"/>
      <c r="K317" s="13"/>
      <c r="L317" s="13"/>
      <c r="M317" s="8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>
      <c r="A318" s="13"/>
      <c r="B318" s="13"/>
      <c r="C318" s="13"/>
      <c r="D318" s="13"/>
      <c r="E318" s="13"/>
      <c r="F318" s="78"/>
      <c r="G318" s="78"/>
      <c r="H318" s="13"/>
      <c r="I318" s="13"/>
      <c r="J318" s="13"/>
      <c r="K318" s="13"/>
      <c r="L318" s="13"/>
      <c r="M318" s="8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>
      <c r="A319" s="13"/>
      <c r="B319" s="13"/>
      <c r="C319" s="13"/>
      <c r="D319" s="13"/>
      <c r="E319" s="13"/>
      <c r="F319" s="78"/>
      <c r="G319" s="78"/>
      <c r="H319" s="13"/>
      <c r="I319" s="13"/>
      <c r="J319" s="13"/>
      <c r="K319" s="13"/>
      <c r="L319" s="13"/>
      <c r="M319" s="8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>
      <c r="A320" s="13"/>
      <c r="B320" s="13"/>
      <c r="C320" s="13"/>
      <c r="D320" s="13"/>
      <c r="E320" s="13"/>
      <c r="F320" s="78"/>
      <c r="G320" s="78"/>
      <c r="H320" s="13"/>
      <c r="I320" s="13"/>
      <c r="J320" s="13"/>
      <c r="K320" s="13"/>
      <c r="L320" s="13"/>
      <c r="M320" s="8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>
      <c r="A321" s="13"/>
      <c r="B321" s="13"/>
      <c r="C321" s="13"/>
      <c r="D321" s="13"/>
      <c r="E321" s="13"/>
      <c r="F321" s="78"/>
      <c r="G321" s="78"/>
      <c r="H321" s="13"/>
      <c r="I321" s="13"/>
      <c r="J321" s="13"/>
      <c r="K321" s="13"/>
      <c r="L321" s="13"/>
      <c r="M321" s="8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>
      <c r="A322" s="13"/>
      <c r="B322" s="13"/>
      <c r="C322" s="13"/>
      <c r="D322" s="13"/>
      <c r="E322" s="13"/>
      <c r="F322" s="78"/>
      <c r="G322" s="78"/>
      <c r="H322" s="13"/>
      <c r="I322" s="13"/>
      <c r="J322" s="13"/>
      <c r="K322" s="13"/>
      <c r="L322" s="13"/>
      <c r="M322" s="8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>
      <c r="A323" s="13"/>
      <c r="B323" s="13"/>
      <c r="C323" s="13"/>
      <c r="D323" s="13"/>
      <c r="E323" s="13"/>
      <c r="F323" s="78"/>
      <c r="G323" s="78"/>
      <c r="H323" s="13"/>
      <c r="I323" s="13"/>
      <c r="J323" s="13"/>
      <c r="K323" s="13"/>
      <c r="L323" s="13"/>
      <c r="M323" s="8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>
      <c r="A324" s="13"/>
      <c r="B324" s="13"/>
      <c r="C324" s="13"/>
      <c r="D324" s="13"/>
      <c r="E324" s="13"/>
      <c r="F324" s="78"/>
      <c r="G324" s="78"/>
      <c r="H324" s="13"/>
      <c r="I324" s="13"/>
      <c r="J324" s="13"/>
      <c r="K324" s="13"/>
      <c r="L324" s="13"/>
      <c r="M324" s="8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H324" s="13"/>
      <c r="AI324" s="13"/>
    </row>
    <row r="325">
      <c r="A325" s="13"/>
      <c r="B325" s="13"/>
      <c r="C325" s="13"/>
      <c r="D325" s="13"/>
      <c r="E325" s="13"/>
      <c r="F325" s="78"/>
      <c r="G325" s="78"/>
      <c r="H325" s="13"/>
      <c r="I325" s="13"/>
      <c r="J325" s="13"/>
      <c r="K325" s="13"/>
      <c r="L325" s="13"/>
      <c r="M325" s="8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>
      <c r="A326" s="13"/>
      <c r="B326" s="13"/>
      <c r="C326" s="13"/>
      <c r="D326" s="13"/>
      <c r="E326" s="13"/>
      <c r="F326" s="78"/>
      <c r="G326" s="78"/>
      <c r="H326" s="13"/>
      <c r="I326" s="13"/>
      <c r="J326" s="13"/>
      <c r="K326" s="13"/>
      <c r="L326" s="13"/>
      <c r="M326" s="8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>
      <c r="A327" s="13"/>
      <c r="B327" s="13"/>
      <c r="C327" s="13"/>
      <c r="D327" s="13"/>
      <c r="E327" s="13"/>
      <c r="F327" s="78"/>
      <c r="G327" s="78"/>
      <c r="H327" s="13"/>
      <c r="I327" s="13"/>
      <c r="J327" s="13"/>
      <c r="K327" s="13"/>
      <c r="L327" s="13"/>
      <c r="M327" s="8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>
      <c r="A328" s="13"/>
      <c r="B328" s="13"/>
      <c r="C328" s="13"/>
      <c r="D328" s="13"/>
      <c r="E328" s="13"/>
      <c r="F328" s="78"/>
      <c r="G328" s="78"/>
      <c r="H328" s="13"/>
      <c r="I328" s="13"/>
      <c r="J328" s="13"/>
      <c r="K328" s="13"/>
      <c r="L328" s="13"/>
      <c r="M328" s="8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>
      <c r="A329" s="13"/>
      <c r="B329" s="13"/>
      <c r="C329" s="13"/>
      <c r="D329" s="13"/>
      <c r="E329" s="13"/>
      <c r="F329" s="78"/>
      <c r="G329" s="78"/>
      <c r="H329" s="13"/>
      <c r="I329" s="13"/>
      <c r="J329" s="13"/>
      <c r="K329" s="13"/>
      <c r="L329" s="13"/>
      <c r="M329" s="8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>
      <c r="A330" s="13"/>
      <c r="B330" s="13"/>
      <c r="C330" s="13"/>
      <c r="D330" s="13"/>
      <c r="E330" s="13"/>
      <c r="F330" s="78"/>
      <c r="G330" s="78"/>
      <c r="H330" s="13"/>
      <c r="I330" s="13"/>
      <c r="J330" s="13"/>
      <c r="K330" s="13"/>
      <c r="L330" s="13"/>
      <c r="M330" s="8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>
      <c r="A331" s="13"/>
      <c r="B331" s="13"/>
      <c r="C331" s="13"/>
      <c r="D331" s="13"/>
      <c r="E331" s="13"/>
      <c r="F331" s="78"/>
      <c r="G331" s="78"/>
      <c r="H331" s="13"/>
      <c r="I331" s="13"/>
      <c r="J331" s="13"/>
      <c r="K331" s="13"/>
      <c r="L331" s="13"/>
      <c r="M331" s="8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>
      <c r="A332" s="13"/>
      <c r="B332" s="13"/>
      <c r="C332" s="13"/>
      <c r="D332" s="13"/>
      <c r="E332" s="13"/>
      <c r="F332" s="78"/>
      <c r="G332" s="78"/>
      <c r="H332" s="13"/>
      <c r="I332" s="13"/>
      <c r="J332" s="13"/>
      <c r="K332" s="13"/>
      <c r="L332" s="13"/>
      <c r="M332" s="8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>
      <c r="A333" s="13"/>
      <c r="B333" s="13"/>
      <c r="C333" s="13"/>
      <c r="D333" s="13"/>
      <c r="E333" s="13"/>
      <c r="F333" s="78"/>
      <c r="G333" s="78"/>
      <c r="H333" s="13"/>
      <c r="I333" s="13"/>
      <c r="J333" s="13"/>
      <c r="K333" s="13"/>
      <c r="L333" s="13"/>
      <c r="M333" s="8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>
      <c r="A334" s="13"/>
      <c r="B334" s="13"/>
      <c r="C334" s="13"/>
      <c r="D334" s="13"/>
      <c r="E334" s="13"/>
      <c r="F334" s="78"/>
      <c r="G334" s="78"/>
      <c r="H334" s="13"/>
      <c r="I334" s="13"/>
      <c r="J334" s="13"/>
      <c r="K334" s="13"/>
      <c r="L334" s="13"/>
      <c r="M334" s="8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>
      <c r="A335" s="13"/>
      <c r="B335" s="13"/>
      <c r="C335" s="13"/>
      <c r="D335" s="13"/>
      <c r="E335" s="13"/>
      <c r="F335" s="78"/>
      <c r="G335" s="78"/>
      <c r="H335" s="13"/>
      <c r="I335" s="13"/>
      <c r="J335" s="13"/>
      <c r="K335" s="13"/>
      <c r="L335" s="13"/>
      <c r="M335" s="8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>
      <c r="A336" s="13"/>
      <c r="B336" s="13"/>
      <c r="C336" s="13"/>
      <c r="D336" s="13"/>
      <c r="E336" s="13"/>
      <c r="F336" s="78"/>
      <c r="G336" s="78"/>
      <c r="H336" s="13"/>
      <c r="I336" s="13"/>
      <c r="J336" s="13"/>
      <c r="K336" s="13"/>
      <c r="L336" s="13"/>
      <c r="M336" s="8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>
      <c r="A337" s="13"/>
      <c r="B337" s="13"/>
      <c r="C337" s="13"/>
      <c r="D337" s="13"/>
      <c r="E337" s="13"/>
      <c r="F337" s="78"/>
      <c r="G337" s="78"/>
      <c r="H337" s="13"/>
      <c r="I337" s="13"/>
      <c r="J337" s="13"/>
      <c r="K337" s="13"/>
      <c r="L337" s="13"/>
      <c r="M337" s="8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>
      <c r="A338" s="13"/>
      <c r="B338" s="13"/>
      <c r="C338" s="13"/>
      <c r="D338" s="13"/>
      <c r="E338" s="13"/>
      <c r="F338" s="78"/>
      <c r="G338" s="78"/>
      <c r="H338" s="13"/>
      <c r="I338" s="13"/>
      <c r="J338" s="13"/>
      <c r="K338" s="13"/>
      <c r="L338" s="13"/>
      <c r="M338" s="8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>
      <c r="A339" s="13"/>
      <c r="B339" s="13"/>
      <c r="C339" s="13"/>
      <c r="D339" s="13"/>
      <c r="E339" s="13"/>
      <c r="F339" s="78"/>
      <c r="G339" s="78"/>
      <c r="H339" s="13"/>
      <c r="I339" s="13"/>
      <c r="J339" s="13"/>
      <c r="K339" s="13"/>
      <c r="L339" s="13"/>
      <c r="M339" s="8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>
      <c r="A340" s="13"/>
      <c r="B340" s="13"/>
      <c r="C340" s="13"/>
      <c r="D340" s="13"/>
      <c r="E340" s="13"/>
      <c r="F340" s="78"/>
      <c r="G340" s="78"/>
      <c r="H340" s="13"/>
      <c r="I340" s="13"/>
      <c r="J340" s="13"/>
      <c r="K340" s="13"/>
      <c r="L340" s="13"/>
      <c r="M340" s="8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>
      <c r="A341" s="13"/>
      <c r="B341" s="13"/>
      <c r="C341" s="13"/>
      <c r="D341" s="13"/>
      <c r="E341" s="13"/>
      <c r="F341" s="78"/>
      <c r="G341" s="78"/>
      <c r="H341" s="13"/>
      <c r="I341" s="13"/>
      <c r="J341" s="13"/>
      <c r="K341" s="13"/>
      <c r="L341" s="13"/>
      <c r="M341" s="8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>
      <c r="A342" s="13"/>
      <c r="B342" s="13"/>
      <c r="C342" s="13"/>
      <c r="D342" s="13"/>
      <c r="E342" s="13"/>
      <c r="F342" s="78"/>
      <c r="G342" s="78"/>
      <c r="H342" s="13"/>
      <c r="I342" s="13"/>
      <c r="J342" s="13"/>
      <c r="K342" s="13"/>
      <c r="L342" s="13"/>
      <c r="M342" s="8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>
      <c r="A343" s="13"/>
      <c r="B343" s="13"/>
      <c r="C343" s="13"/>
      <c r="D343" s="13"/>
      <c r="E343" s="13"/>
      <c r="F343" s="78"/>
      <c r="G343" s="78"/>
      <c r="H343" s="13"/>
      <c r="I343" s="13"/>
      <c r="J343" s="13"/>
      <c r="K343" s="13"/>
      <c r="L343" s="13"/>
      <c r="M343" s="8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>
      <c r="A344" s="13"/>
      <c r="B344" s="13"/>
      <c r="C344" s="13"/>
      <c r="D344" s="13"/>
      <c r="E344" s="13"/>
      <c r="F344" s="78"/>
      <c r="G344" s="78"/>
      <c r="H344" s="13"/>
      <c r="I344" s="13"/>
      <c r="J344" s="13"/>
      <c r="K344" s="13"/>
      <c r="L344" s="13"/>
      <c r="M344" s="8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>
      <c r="A345" s="13"/>
      <c r="B345" s="13"/>
      <c r="C345" s="13"/>
      <c r="D345" s="13"/>
      <c r="E345" s="13"/>
      <c r="F345" s="78"/>
      <c r="G345" s="78"/>
      <c r="H345" s="13"/>
      <c r="I345" s="13"/>
      <c r="J345" s="13"/>
      <c r="K345" s="13"/>
      <c r="L345" s="13"/>
      <c r="M345" s="8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>
      <c r="A346" s="13"/>
      <c r="B346" s="13"/>
      <c r="C346" s="13"/>
      <c r="D346" s="13"/>
      <c r="E346" s="13"/>
      <c r="F346" s="78"/>
      <c r="G346" s="78"/>
      <c r="H346" s="13"/>
      <c r="I346" s="13"/>
      <c r="J346" s="13"/>
      <c r="K346" s="13"/>
      <c r="L346" s="13"/>
      <c r="M346" s="8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>
      <c r="A347" s="13"/>
      <c r="B347" s="13"/>
      <c r="C347" s="13"/>
      <c r="D347" s="13"/>
      <c r="E347" s="13"/>
      <c r="F347" s="78"/>
      <c r="G347" s="78"/>
      <c r="H347" s="13"/>
      <c r="I347" s="13"/>
      <c r="J347" s="13"/>
      <c r="K347" s="13"/>
      <c r="L347" s="13"/>
      <c r="M347" s="8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>
      <c r="A348" s="13"/>
      <c r="B348" s="13"/>
      <c r="C348" s="13"/>
      <c r="D348" s="13"/>
      <c r="E348" s="13"/>
      <c r="F348" s="78"/>
      <c r="G348" s="78"/>
      <c r="H348" s="13"/>
      <c r="I348" s="13"/>
      <c r="J348" s="13"/>
      <c r="K348" s="13"/>
      <c r="L348" s="13"/>
      <c r="M348" s="8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>
      <c r="A349" s="13"/>
      <c r="B349" s="13"/>
      <c r="C349" s="13"/>
      <c r="D349" s="13"/>
      <c r="E349" s="13"/>
      <c r="F349" s="78"/>
      <c r="G349" s="78"/>
      <c r="H349" s="13"/>
      <c r="I349" s="13"/>
      <c r="J349" s="13"/>
      <c r="K349" s="13"/>
      <c r="L349" s="13"/>
      <c r="M349" s="8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>
      <c r="A350" s="13"/>
      <c r="B350" s="13"/>
      <c r="C350" s="13"/>
      <c r="D350" s="13"/>
      <c r="E350" s="13"/>
      <c r="F350" s="78"/>
      <c r="G350" s="78"/>
      <c r="H350" s="13"/>
      <c r="I350" s="13"/>
      <c r="J350" s="13"/>
      <c r="K350" s="13"/>
      <c r="L350" s="13"/>
      <c r="M350" s="8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>
      <c r="A351" s="13"/>
      <c r="B351" s="13"/>
      <c r="C351" s="13"/>
      <c r="D351" s="13"/>
      <c r="E351" s="13"/>
      <c r="F351" s="78"/>
      <c r="G351" s="78"/>
      <c r="H351" s="13"/>
      <c r="I351" s="13"/>
      <c r="J351" s="13"/>
      <c r="K351" s="13"/>
      <c r="L351" s="13"/>
      <c r="M351" s="8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>
      <c r="A352" s="13"/>
      <c r="B352" s="13"/>
      <c r="C352" s="13"/>
      <c r="D352" s="13"/>
      <c r="E352" s="13"/>
      <c r="F352" s="78"/>
      <c r="G352" s="78"/>
      <c r="H352" s="13"/>
      <c r="I352" s="13"/>
      <c r="J352" s="13"/>
      <c r="K352" s="13"/>
      <c r="L352" s="13"/>
      <c r="M352" s="8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>
      <c r="A353" s="13"/>
      <c r="B353" s="13"/>
      <c r="C353" s="13"/>
      <c r="D353" s="13"/>
      <c r="E353" s="13"/>
      <c r="F353" s="78"/>
      <c r="G353" s="78"/>
      <c r="H353" s="13"/>
      <c r="I353" s="13"/>
      <c r="J353" s="13"/>
      <c r="K353" s="13"/>
      <c r="L353" s="13"/>
      <c r="M353" s="8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>
      <c r="A354" s="13"/>
      <c r="B354" s="13"/>
      <c r="C354" s="13"/>
      <c r="D354" s="13"/>
      <c r="E354" s="13"/>
      <c r="F354" s="78"/>
      <c r="G354" s="78"/>
      <c r="H354" s="13"/>
      <c r="I354" s="13"/>
      <c r="J354" s="13"/>
      <c r="K354" s="13"/>
      <c r="L354" s="13"/>
      <c r="M354" s="8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>
      <c r="A355" s="13"/>
      <c r="B355" s="13"/>
      <c r="C355" s="13"/>
      <c r="D355" s="13"/>
      <c r="E355" s="13"/>
      <c r="F355" s="78"/>
      <c r="G355" s="78"/>
      <c r="H355" s="13"/>
      <c r="I355" s="13"/>
      <c r="J355" s="13"/>
      <c r="K355" s="13"/>
      <c r="L355" s="13"/>
      <c r="M355" s="8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>
      <c r="A356" s="13"/>
      <c r="B356" s="13"/>
      <c r="C356" s="13"/>
      <c r="D356" s="13"/>
      <c r="E356" s="13"/>
      <c r="F356" s="78"/>
      <c r="G356" s="78"/>
      <c r="H356" s="13"/>
      <c r="I356" s="13"/>
      <c r="J356" s="13"/>
      <c r="K356" s="13"/>
      <c r="L356" s="13"/>
      <c r="M356" s="8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>
      <c r="A357" s="13"/>
      <c r="B357" s="13"/>
      <c r="C357" s="13"/>
      <c r="D357" s="13"/>
      <c r="E357" s="13"/>
      <c r="F357" s="78"/>
      <c r="G357" s="78"/>
      <c r="H357" s="13"/>
      <c r="I357" s="13"/>
      <c r="J357" s="13"/>
      <c r="K357" s="13"/>
      <c r="L357" s="13"/>
      <c r="M357" s="8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>
      <c r="A358" s="13"/>
      <c r="B358" s="13"/>
      <c r="C358" s="13"/>
      <c r="D358" s="13"/>
      <c r="E358" s="13"/>
      <c r="F358" s="78"/>
      <c r="G358" s="78"/>
      <c r="H358" s="13"/>
      <c r="I358" s="13"/>
      <c r="J358" s="13"/>
      <c r="K358" s="13"/>
      <c r="L358" s="13"/>
      <c r="M358" s="8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>
      <c r="A359" s="13"/>
      <c r="B359" s="13"/>
      <c r="C359" s="13"/>
      <c r="D359" s="13"/>
      <c r="E359" s="13"/>
      <c r="F359" s="78"/>
      <c r="G359" s="78"/>
      <c r="H359" s="13"/>
      <c r="I359" s="13"/>
      <c r="J359" s="13"/>
      <c r="K359" s="13"/>
      <c r="L359" s="13"/>
      <c r="M359" s="8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>
      <c r="A360" s="13"/>
      <c r="B360" s="13"/>
      <c r="C360" s="13"/>
      <c r="D360" s="13"/>
      <c r="E360" s="13"/>
      <c r="F360" s="78"/>
      <c r="G360" s="78"/>
      <c r="H360" s="13"/>
      <c r="I360" s="13"/>
      <c r="J360" s="13"/>
      <c r="K360" s="13"/>
      <c r="L360" s="13"/>
      <c r="M360" s="8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>
      <c r="A361" s="13"/>
      <c r="B361" s="13"/>
      <c r="C361" s="13"/>
      <c r="D361" s="13"/>
      <c r="E361" s="13"/>
      <c r="F361" s="78"/>
      <c r="G361" s="78"/>
      <c r="H361" s="13"/>
      <c r="I361" s="13"/>
      <c r="J361" s="13"/>
      <c r="K361" s="13"/>
      <c r="L361" s="13"/>
      <c r="M361" s="8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>
      <c r="A362" s="13"/>
      <c r="B362" s="13"/>
      <c r="C362" s="13"/>
      <c r="D362" s="13"/>
      <c r="E362" s="13"/>
      <c r="F362" s="78"/>
      <c r="G362" s="78"/>
      <c r="H362" s="13"/>
      <c r="I362" s="13"/>
      <c r="J362" s="13"/>
      <c r="K362" s="13"/>
      <c r="L362" s="13"/>
      <c r="M362" s="8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>
      <c r="A363" s="13"/>
      <c r="B363" s="13"/>
      <c r="C363" s="13"/>
      <c r="D363" s="13"/>
      <c r="E363" s="13"/>
      <c r="F363" s="78"/>
      <c r="G363" s="78"/>
      <c r="H363" s="13"/>
      <c r="I363" s="13"/>
      <c r="J363" s="13"/>
      <c r="K363" s="13"/>
      <c r="L363" s="13"/>
      <c r="M363" s="8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>
      <c r="A364" s="13"/>
      <c r="B364" s="13"/>
      <c r="C364" s="13"/>
      <c r="D364" s="13"/>
      <c r="E364" s="13"/>
      <c r="F364" s="78"/>
      <c r="G364" s="78"/>
      <c r="H364" s="13"/>
      <c r="I364" s="13"/>
      <c r="J364" s="13"/>
      <c r="K364" s="13"/>
      <c r="L364" s="13"/>
      <c r="M364" s="8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>
      <c r="A365" s="13"/>
      <c r="B365" s="13"/>
      <c r="C365" s="13"/>
      <c r="D365" s="13"/>
      <c r="E365" s="13"/>
      <c r="F365" s="78"/>
      <c r="G365" s="78"/>
      <c r="H365" s="13"/>
      <c r="I365" s="13"/>
      <c r="J365" s="13"/>
      <c r="K365" s="13"/>
      <c r="L365" s="13"/>
      <c r="M365" s="8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>
      <c r="A366" s="13"/>
      <c r="B366" s="13"/>
      <c r="C366" s="13"/>
      <c r="D366" s="13"/>
      <c r="E366" s="13"/>
      <c r="F366" s="78"/>
      <c r="G366" s="78"/>
      <c r="H366" s="13"/>
      <c r="I366" s="13"/>
      <c r="J366" s="13"/>
      <c r="K366" s="13"/>
      <c r="L366" s="13"/>
      <c r="M366" s="8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>
      <c r="A367" s="13"/>
      <c r="B367" s="13"/>
      <c r="C367" s="13"/>
      <c r="D367" s="13"/>
      <c r="E367" s="13"/>
      <c r="F367" s="78"/>
      <c r="G367" s="78"/>
      <c r="H367" s="13"/>
      <c r="I367" s="13"/>
      <c r="J367" s="13"/>
      <c r="K367" s="13"/>
      <c r="L367" s="13"/>
      <c r="M367" s="8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>
      <c r="A368" s="13"/>
      <c r="B368" s="13"/>
      <c r="C368" s="13"/>
      <c r="D368" s="13"/>
      <c r="E368" s="13"/>
      <c r="F368" s="78"/>
      <c r="G368" s="78"/>
      <c r="H368" s="13"/>
      <c r="I368" s="13"/>
      <c r="J368" s="13"/>
      <c r="K368" s="13"/>
      <c r="L368" s="13"/>
      <c r="M368" s="8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>
      <c r="A369" s="13"/>
      <c r="B369" s="13"/>
      <c r="C369" s="13"/>
      <c r="D369" s="13"/>
      <c r="E369" s="13"/>
      <c r="F369" s="78"/>
      <c r="G369" s="78"/>
      <c r="H369" s="13"/>
      <c r="I369" s="13"/>
      <c r="J369" s="13"/>
      <c r="K369" s="13"/>
      <c r="L369" s="13"/>
      <c r="M369" s="8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>
      <c r="A370" s="13"/>
      <c r="B370" s="13"/>
      <c r="C370" s="13"/>
      <c r="D370" s="13"/>
      <c r="E370" s="13"/>
      <c r="F370" s="78"/>
      <c r="G370" s="78"/>
      <c r="H370" s="13"/>
      <c r="I370" s="13"/>
      <c r="J370" s="13"/>
      <c r="K370" s="13"/>
      <c r="L370" s="13"/>
      <c r="M370" s="8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>
      <c r="A371" s="13"/>
      <c r="B371" s="13"/>
      <c r="C371" s="13"/>
      <c r="D371" s="13"/>
      <c r="E371" s="13"/>
      <c r="F371" s="78"/>
      <c r="G371" s="78"/>
      <c r="H371" s="13"/>
      <c r="I371" s="13"/>
      <c r="J371" s="13"/>
      <c r="K371" s="13"/>
      <c r="L371" s="13"/>
      <c r="M371" s="8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>
      <c r="A372" s="13"/>
      <c r="B372" s="13"/>
      <c r="C372" s="13"/>
      <c r="D372" s="13"/>
      <c r="E372" s="13"/>
      <c r="F372" s="78"/>
      <c r="G372" s="78"/>
      <c r="H372" s="13"/>
      <c r="I372" s="13"/>
      <c r="J372" s="13"/>
      <c r="K372" s="13"/>
      <c r="L372" s="13"/>
      <c r="M372" s="8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>
      <c r="A373" s="13"/>
      <c r="B373" s="13"/>
      <c r="C373" s="13"/>
      <c r="D373" s="13"/>
      <c r="E373" s="13"/>
      <c r="F373" s="78"/>
      <c r="G373" s="78"/>
      <c r="H373" s="13"/>
      <c r="I373" s="13"/>
      <c r="J373" s="13"/>
      <c r="K373" s="13"/>
      <c r="L373" s="13"/>
      <c r="M373" s="8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>
      <c r="A374" s="13"/>
      <c r="B374" s="13"/>
      <c r="C374" s="13"/>
      <c r="D374" s="13"/>
      <c r="E374" s="13"/>
      <c r="F374" s="78"/>
      <c r="G374" s="78"/>
      <c r="H374" s="13"/>
      <c r="I374" s="13"/>
      <c r="J374" s="13"/>
      <c r="K374" s="13"/>
      <c r="L374" s="13"/>
      <c r="M374" s="8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>
      <c r="A375" s="13"/>
      <c r="B375" s="13"/>
      <c r="C375" s="13"/>
      <c r="D375" s="13"/>
      <c r="E375" s="13"/>
      <c r="F375" s="78"/>
      <c r="G375" s="78"/>
      <c r="H375" s="13"/>
      <c r="I375" s="13"/>
      <c r="J375" s="13"/>
      <c r="K375" s="13"/>
      <c r="L375" s="13"/>
      <c r="M375" s="8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>
      <c r="A376" s="13"/>
      <c r="B376" s="13"/>
      <c r="C376" s="13"/>
      <c r="D376" s="13"/>
      <c r="E376" s="13"/>
      <c r="F376" s="78"/>
      <c r="G376" s="78"/>
      <c r="H376" s="13"/>
      <c r="I376" s="13"/>
      <c r="J376" s="13"/>
      <c r="K376" s="13"/>
      <c r="L376" s="13"/>
      <c r="M376" s="8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>
      <c r="A377" s="13"/>
      <c r="B377" s="13"/>
      <c r="C377" s="13"/>
      <c r="D377" s="13"/>
      <c r="E377" s="13"/>
      <c r="F377" s="78"/>
      <c r="G377" s="78"/>
      <c r="H377" s="13"/>
      <c r="I377" s="13"/>
      <c r="J377" s="13"/>
      <c r="K377" s="13"/>
      <c r="L377" s="13"/>
      <c r="M377" s="8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>
      <c r="A378" s="13"/>
      <c r="B378" s="13"/>
      <c r="C378" s="13"/>
      <c r="D378" s="13"/>
      <c r="E378" s="13"/>
      <c r="F378" s="78"/>
      <c r="G378" s="78"/>
      <c r="H378" s="13"/>
      <c r="I378" s="13"/>
      <c r="J378" s="13"/>
      <c r="K378" s="13"/>
      <c r="L378" s="13"/>
      <c r="M378" s="8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>
      <c r="A379" s="13"/>
      <c r="B379" s="13"/>
      <c r="C379" s="13"/>
      <c r="D379" s="13"/>
      <c r="E379" s="13"/>
      <c r="F379" s="78"/>
      <c r="G379" s="78"/>
      <c r="H379" s="13"/>
      <c r="I379" s="13"/>
      <c r="J379" s="13"/>
      <c r="K379" s="13"/>
      <c r="L379" s="13"/>
      <c r="M379" s="8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>
      <c r="A380" s="13"/>
      <c r="B380" s="13"/>
      <c r="C380" s="13"/>
      <c r="D380" s="13"/>
      <c r="E380" s="13"/>
      <c r="F380" s="78"/>
      <c r="G380" s="78"/>
      <c r="H380" s="13"/>
      <c r="I380" s="13"/>
      <c r="J380" s="13"/>
      <c r="K380" s="13"/>
      <c r="L380" s="13"/>
      <c r="M380" s="8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>
      <c r="A381" s="13"/>
      <c r="B381" s="13"/>
      <c r="C381" s="13"/>
      <c r="D381" s="13"/>
      <c r="E381" s="13"/>
      <c r="F381" s="78"/>
      <c r="G381" s="78"/>
      <c r="H381" s="13"/>
      <c r="I381" s="13"/>
      <c r="J381" s="13"/>
      <c r="K381" s="13"/>
      <c r="L381" s="13"/>
      <c r="M381" s="8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>
      <c r="A382" s="13"/>
      <c r="B382" s="13"/>
      <c r="C382" s="13"/>
      <c r="D382" s="13"/>
      <c r="E382" s="13"/>
      <c r="F382" s="78"/>
      <c r="G382" s="78"/>
      <c r="H382" s="13"/>
      <c r="I382" s="13"/>
      <c r="J382" s="13"/>
      <c r="K382" s="13"/>
      <c r="L382" s="13"/>
      <c r="M382" s="8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>
      <c r="A383" s="13"/>
      <c r="B383" s="13"/>
      <c r="C383" s="13"/>
      <c r="D383" s="13"/>
      <c r="E383" s="13"/>
      <c r="F383" s="78"/>
      <c r="G383" s="78"/>
      <c r="H383" s="13"/>
      <c r="I383" s="13"/>
      <c r="J383" s="13"/>
      <c r="K383" s="13"/>
      <c r="L383" s="13"/>
      <c r="M383" s="8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>
      <c r="A384" s="13"/>
      <c r="B384" s="13"/>
      <c r="C384" s="13"/>
      <c r="D384" s="13"/>
      <c r="E384" s="13"/>
      <c r="F384" s="78"/>
      <c r="G384" s="78"/>
      <c r="H384" s="13"/>
      <c r="I384" s="13"/>
      <c r="J384" s="13"/>
      <c r="K384" s="13"/>
      <c r="L384" s="13"/>
      <c r="M384" s="8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>
      <c r="A385" s="13"/>
      <c r="B385" s="13"/>
      <c r="C385" s="13"/>
      <c r="D385" s="13"/>
      <c r="E385" s="13"/>
      <c r="F385" s="78"/>
      <c r="G385" s="78"/>
      <c r="H385" s="13"/>
      <c r="I385" s="13"/>
      <c r="J385" s="13"/>
      <c r="K385" s="13"/>
      <c r="L385" s="13"/>
      <c r="M385" s="8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>
      <c r="A386" s="13"/>
      <c r="B386" s="13"/>
      <c r="C386" s="13"/>
      <c r="D386" s="13"/>
      <c r="E386" s="13"/>
      <c r="F386" s="78"/>
      <c r="G386" s="78"/>
      <c r="H386" s="13"/>
      <c r="I386" s="13"/>
      <c r="J386" s="13"/>
      <c r="K386" s="13"/>
      <c r="L386" s="13"/>
      <c r="M386" s="8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>
      <c r="A387" s="13"/>
      <c r="B387" s="13"/>
      <c r="C387" s="13"/>
      <c r="D387" s="13"/>
      <c r="E387" s="13"/>
      <c r="F387" s="78"/>
      <c r="G387" s="78"/>
      <c r="H387" s="13"/>
      <c r="I387" s="13"/>
      <c r="J387" s="13"/>
      <c r="K387" s="13"/>
      <c r="L387" s="13"/>
      <c r="M387" s="8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>
      <c r="A388" s="13"/>
      <c r="B388" s="13"/>
      <c r="C388" s="13"/>
      <c r="D388" s="13"/>
      <c r="E388" s="13"/>
      <c r="F388" s="78"/>
      <c r="G388" s="78"/>
      <c r="H388" s="13"/>
      <c r="I388" s="13"/>
      <c r="J388" s="13"/>
      <c r="K388" s="13"/>
      <c r="L388" s="13"/>
      <c r="M388" s="8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>
      <c r="A389" s="13"/>
      <c r="B389" s="13"/>
      <c r="C389" s="13"/>
      <c r="D389" s="13"/>
      <c r="E389" s="13"/>
      <c r="F389" s="78"/>
      <c r="G389" s="78"/>
      <c r="H389" s="13"/>
      <c r="I389" s="13"/>
      <c r="J389" s="13"/>
      <c r="K389" s="13"/>
      <c r="L389" s="13"/>
      <c r="M389" s="8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>
      <c r="A390" s="13"/>
      <c r="B390" s="13"/>
      <c r="C390" s="13"/>
      <c r="D390" s="13"/>
      <c r="E390" s="13"/>
      <c r="F390" s="78"/>
      <c r="G390" s="78"/>
      <c r="H390" s="13"/>
      <c r="I390" s="13"/>
      <c r="J390" s="13"/>
      <c r="K390" s="13"/>
      <c r="L390" s="13"/>
      <c r="M390" s="8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>
      <c r="A391" s="13"/>
      <c r="B391" s="13"/>
      <c r="C391" s="13"/>
      <c r="D391" s="13"/>
      <c r="E391" s="13"/>
      <c r="F391" s="78"/>
      <c r="G391" s="78"/>
      <c r="H391" s="13"/>
      <c r="I391" s="13"/>
      <c r="J391" s="13"/>
      <c r="K391" s="13"/>
      <c r="L391" s="13"/>
      <c r="M391" s="8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>
      <c r="A392" s="13"/>
      <c r="B392" s="13"/>
      <c r="C392" s="13"/>
      <c r="D392" s="13"/>
      <c r="E392" s="13"/>
      <c r="F392" s="78"/>
      <c r="G392" s="78"/>
      <c r="H392" s="13"/>
      <c r="I392" s="13"/>
      <c r="J392" s="13"/>
      <c r="K392" s="13"/>
      <c r="L392" s="13"/>
      <c r="M392" s="8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>
      <c r="A393" s="13"/>
      <c r="B393" s="13"/>
      <c r="C393" s="13"/>
      <c r="D393" s="13"/>
      <c r="E393" s="13"/>
      <c r="F393" s="78"/>
      <c r="G393" s="78"/>
      <c r="H393" s="13"/>
      <c r="I393" s="13"/>
      <c r="J393" s="13"/>
      <c r="K393" s="13"/>
      <c r="L393" s="13"/>
      <c r="M393" s="8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>
      <c r="A394" s="13"/>
      <c r="B394" s="13"/>
      <c r="C394" s="13"/>
      <c r="D394" s="13"/>
      <c r="E394" s="13"/>
      <c r="F394" s="78"/>
      <c r="G394" s="78"/>
      <c r="H394" s="13"/>
      <c r="I394" s="13"/>
      <c r="J394" s="13"/>
      <c r="K394" s="13"/>
      <c r="L394" s="13"/>
      <c r="M394" s="8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>
      <c r="A395" s="13"/>
      <c r="B395" s="13"/>
      <c r="C395" s="13"/>
      <c r="D395" s="13"/>
      <c r="E395" s="13"/>
      <c r="F395" s="78"/>
      <c r="G395" s="78"/>
      <c r="H395" s="13"/>
      <c r="I395" s="13"/>
      <c r="J395" s="13"/>
      <c r="K395" s="13"/>
      <c r="L395" s="13"/>
      <c r="M395" s="8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>
      <c r="A396" s="13"/>
      <c r="B396" s="13"/>
      <c r="C396" s="13"/>
      <c r="D396" s="13"/>
      <c r="E396" s="13"/>
      <c r="F396" s="78"/>
      <c r="G396" s="78"/>
      <c r="H396" s="13"/>
      <c r="I396" s="13"/>
      <c r="J396" s="13"/>
      <c r="K396" s="13"/>
      <c r="L396" s="13"/>
      <c r="M396" s="8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>
      <c r="A397" s="13"/>
      <c r="B397" s="13"/>
      <c r="C397" s="13"/>
      <c r="D397" s="13"/>
      <c r="E397" s="13"/>
      <c r="F397" s="78"/>
      <c r="G397" s="78"/>
      <c r="H397" s="13"/>
      <c r="I397" s="13"/>
      <c r="J397" s="13"/>
      <c r="K397" s="13"/>
      <c r="L397" s="13"/>
      <c r="M397" s="8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>
      <c r="A398" s="13"/>
      <c r="B398" s="13"/>
      <c r="C398" s="13"/>
      <c r="D398" s="13"/>
      <c r="E398" s="13"/>
      <c r="F398" s="78"/>
      <c r="G398" s="78"/>
      <c r="H398" s="13"/>
      <c r="I398" s="13"/>
      <c r="J398" s="13"/>
      <c r="K398" s="13"/>
      <c r="L398" s="13"/>
      <c r="M398" s="8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>
      <c r="A399" s="13"/>
      <c r="B399" s="13"/>
      <c r="C399" s="13"/>
      <c r="D399" s="13"/>
      <c r="E399" s="13"/>
      <c r="F399" s="78"/>
      <c r="G399" s="78"/>
      <c r="H399" s="13"/>
      <c r="I399" s="13"/>
      <c r="J399" s="13"/>
      <c r="K399" s="13"/>
      <c r="L399" s="13"/>
      <c r="M399" s="8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>
      <c r="A400" s="13"/>
      <c r="B400" s="13"/>
      <c r="C400" s="13"/>
      <c r="D400" s="13"/>
      <c r="E400" s="13"/>
      <c r="F400" s="78"/>
      <c r="G400" s="78"/>
      <c r="H400" s="13"/>
      <c r="I400" s="13"/>
      <c r="J400" s="13"/>
      <c r="K400" s="13"/>
      <c r="L400" s="13"/>
      <c r="M400" s="8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>
      <c r="A401" s="13"/>
      <c r="B401" s="13"/>
      <c r="C401" s="13"/>
      <c r="D401" s="13"/>
      <c r="E401" s="13"/>
      <c r="F401" s="78"/>
      <c r="G401" s="78"/>
      <c r="H401" s="13"/>
      <c r="I401" s="13"/>
      <c r="J401" s="13"/>
      <c r="K401" s="13"/>
      <c r="L401" s="13"/>
      <c r="M401" s="8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>
      <c r="A402" s="13"/>
      <c r="B402" s="13"/>
      <c r="C402" s="13"/>
      <c r="D402" s="13"/>
      <c r="E402" s="13"/>
      <c r="F402" s="78"/>
      <c r="G402" s="78"/>
      <c r="H402" s="13"/>
      <c r="I402" s="13"/>
      <c r="J402" s="13"/>
      <c r="K402" s="13"/>
      <c r="L402" s="13"/>
      <c r="M402" s="8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>
      <c r="A403" s="13"/>
      <c r="B403" s="13"/>
      <c r="C403" s="13"/>
      <c r="D403" s="13"/>
      <c r="E403" s="13"/>
      <c r="F403" s="78"/>
      <c r="G403" s="78"/>
      <c r="H403" s="13"/>
      <c r="I403" s="13"/>
      <c r="J403" s="13"/>
      <c r="K403" s="13"/>
      <c r="L403" s="13"/>
      <c r="M403" s="8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>
      <c r="A404" s="13"/>
      <c r="B404" s="13"/>
      <c r="C404" s="13"/>
      <c r="D404" s="13"/>
      <c r="E404" s="13"/>
      <c r="F404" s="78"/>
      <c r="G404" s="78"/>
      <c r="H404" s="13"/>
      <c r="I404" s="13"/>
      <c r="J404" s="13"/>
      <c r="K404" s="13"/>
      <c r="L404" s="13"/>
      <c r="M404" s="8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>
      <c r="A405" s="13"/>
      <c r="B405" s="13"/>
      <c r="C405" s="13"/>
      <c r="D405" s="13"/>
      <c r="E405" s="13"/>
      <c r="F405" s="78"/>
      <c r="G405" s="78"/>
      <c r="H405" s="13"/>
      <c r="I405" s="13"/>
      <c r="J405" s="13"/>
      <c r="K405" s="13"/>
      <c r="L405" s="13"/>
      <c r="M405" s="8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>
      <c r="A406" s="13"/>
      <c r="B406" s="13"/>
      <c r="C406" s="13"/>
      <c r="D406" s="13"/>
      <c r="E406" s="13"/>
      <c r="F406" s="78"/>
      <c r="G406" s="78"/>
      <c r="H406" s="13"/>
      <c r="I406" s="13"/>
      <c r="J406" s="13"/>
      <c r="K406" s="13"/>
      <c r="L406" s="13"/>
      <c r="M406" s="8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>
      <c r="A407" s="13"/>
      <c r="B407" s="13"/>
      <c r="C407" s="13"/>
      <c r="D407" s="13"/>
      <c r="E407" s="13"/>
      <c r="F407" s="78"/>
      <c r="G407" s="78"/>
      <c r="H407" s="13"/>
      <c r="I407" s="13"/>
      <c r="J407" s="13"/>
      <c r="K407" s="13"/>
      <c r="L407" s="13"/>
      <c r="M407" s="8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>
      <c r="A408" s="13"/>
      <c r="B408" s="13"/>
      <c r="C408" s="13"/>
      <c r="D408" s="13"/>
      <c r="E408" s="13"/>
      <c r="F408" s="78"/>
      <c r="G408" s="78"/>
      <c r="H408" s="13"/>
      <c r="I408" s="13"/>
      <c r="J408" s="13"/>
      <c r="K408" s="13"/>
      <c r="L408" s="13"/>
      <c r="M408" s="8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>
      <c r="A409" s="13"/>
      <c r="B409" s="13"/>
      <c r="C409" s="13"/>
      <c r="D409" s="13"/>
      <c r="E409" s="13"/>
      <c r="F409" s="78"/>
      <c r="G409" s="78"/>
      <c r="H409" s="13"/>
      <c r="I409" s="13"/>
      <c r="J409" s="13"/>
      <c r="K409" s="13"/>
      <c r="L409" s="13"/>
      <c r="M409" s="8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>
      <c r="A410" s="13"/>
      <c r="B410" s="13"/>
      <c r="C410" s="13"/>
      <c r="D410" s="13"/>
      <c r="E410" s="13"/>
      <c r="F410" s="78"/>
      <c r="G410" s="78"/>
      <c r="H410" s="13"/>
      <c r="I410" s="13"/>
      <c r="J410" s="13"/>
      <c r="K410" s="13"/>
      <c r="L410" s="13"/>
      <c r="M410" s="8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>
      <c r="A411" s="13"/>
      <c r="B411" s="13"/>
      <c r="C411" s="13"/>
      <c r="D411" s="13"/>
      <c r="E411" s="13"/>
      <c r="F411" s="78"/>
      <c r="G411" s="78"/>
      <c r="H411" s="13"/>
      <c r="I411" s="13"/>
      <c r="J411" s="13"/>
      <c r="K411" s="13"/>
      <c r="L411" s="13"/>
      <c r="M411" s="8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>
      <c r="A412" s="13"/>
      <c r="B412" s="13"/>
      <c r="C412" s="13"/>
      <c r="D412" s="13"/>
      <c r="E412" s="13"/>
      <c r="F412" s="78"/>
      <c r="G412" s="78"/>
      <c r="H412" s="13"/>
      <c r="I412" s="13"/>
      <c r="J412" s="13"/>
      <c r="K412" s="13"/>
      <c r="L412" s="13"/>
      <c r="M412" s="8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>
      <c r="A413" s="13"/>
      <c r="B413" s="13"/>
      <c r="C413" s="13"/>
      <c r="D413" s="13"/>
      <c r="E413" s="13"/>
      <c r="F413" s="78"/>
      <c r="G413" s="78"/>
      <c r="H413" s="13"/>
      <c r="I413" s="13"/>
      <c r="J413" s="13"/>
      <c r="K413" s="13"/>
      <c r="L413" s="13"/>
      <c r="M413" s="8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>
      <c r="A414" s="13"/>
      <c r="B414" s="13"/>
      <c r="C414" s="13"/>
      <c r="D414" s="13"/>
      <c r="E414" s="13"/>
      <c r="F414" s="78"/>
      <c r="G414" s="78"/>
      <c r="H414" s="13"/>
      <c r="I414" s="13"/>
      <c r="J414" s="13"/>
      <c r="K414" s="13"/>
      <c r="L414" s="13"/>
      <c r="M414" s="8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>
      <c r="A415" s="13"/>
      <c r="B415" s="13"/>
      <c r="C415" s="13"/>
      <c r="D415" s="13"/>
      <c r="E415" s="13"/>
      <c r="F415" s="78"/>
      <c r="G415" s="78"/>
      <c r="H415" s="13"/>
      <c r="I415" s="13"/>
      <c r="J415" s="13"/>
      <c r="K415" s="13"/>
      <c r="L415" s="13"/>
      <c r="M415" s="8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>
      <c r="A416" s="13"/>
      <c r="B416" s="13"/>
      <c r="C416" s="13"/>
      <c r="D416" s="13"/>
      <c r="E416" s="13"/>
      <c r="F416" s="78"/>
      <c r="G416" s="78"/>
      <c r="H416" s="13"/>
      <c r="I416" s="13"/>
      <c r="J416" s="13"/>
      <c r="K416" s="13"/>
      <c r="L416" s="13"/>
      <c r="M416" s="8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>
      <c r="A417" s="13"/>
      <c r="B417" s="13"/>
      <c r="C417" s="13"/>
      <c r="D417" s="13"/>
      <c r="E417" s="13"/>
      <c r="F417" s="78"/>
      <c r="G417" s="78"/>
      <c r="H417" s="13"/>
      <c r="I417" s="13"/>
      <c r="J417" s="13"/>
      <c r="K417" s="13"/>
      <c r="L417" s="13"/>
      <c r="M417" s="8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>
      <c r="A418" s="13"/>
      <c r="B418" s="13"/>
      <c r="C418" s="13"/>
      <c r="D418" s="13"/>
      <c r="E418" s="13"/>
      <c r="F418" s="78"/>
      <c r="G418" s="78"/>
      <c r="H418" s="13"/>
      <c r="I418" s="13"/>
      <c r="J418" s="13"/>
      <c r="K418" s="13"/>
      <c r="L418" s="13"/>
      <c r="M418" s="8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>
      <c r="A419" s="13"/>
      <c r="B419" s="13"/>
      <c r="C419" s="13"/>
      <c r="D419" s="13"/>
      <c r="E419" s="13"/>
      <c r="F419" s="78"/>
      <c r="G419" s="78"/>
      <c r="H419" s="13"/>
      <c r="I419" s="13"/>
      <c r="J419" s="13"/>
      <c r="K419" s="13"/>
      <c r="L419" s="13"/>
      <c r="M419" s="8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>
      <c r="A420" s="13"/>
      <c r="B420" s="13"/>
      <c r="C420" s="13"/>
      <c r="D420" s="13"/>
      <c r="E420" s="13"/>
      <c r="F420" s="78"/>
      <c r="G420" s="78"/>
      <c r="H420" s="13"/>
      <c r="I420" s="13"/>
      <c r="J420" s="13"/>
      <c r="K420" s="13"/>
      <c r="L420" s="13"/>
      <c r="M420" s="8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>
      <c r="A421" s="13"/>
      <c r="B421" s="13"/>
      <c r="C421" s="13"/>
      <c r="D421" s="13"/>
      <c r="E421" s="13"/>
      <c r="F421" s="78"/>
      <c r="G421" s="78"/>
      <c r="H421" s="13"/>
      <c r="I421" s="13"/>
      <c r="J421" s="13"/>
      <c r="K421" s="13"/>
      <c r="L421" s="13"/>
      <c r="M421" s="8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>
      <c r="A422" s="13"/>
      <c r="B422" s="13"/>
      <c r="C422" s="13"/>
      <c r="D422" s="13"/>
      <c r="E422" s="13"/>
      <c r="F422" s="78"/>
      <c r="G422" s="78"/>
      <c r="H422" s="13"/>
      <c r="I422" s="13"/>
      <c r="J422" s="13"/>
      <c r="K422" s="13"/>
      <c r="L422" s="13"/>
      <c r="M422" s="8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>
      <c r="A423" s="13"/>
      <c r="B423" s="13"/>
      <c r="C423" s="13"/>
      <c r="D423" s="13"/>
      <c r="E423" s="13"/>
      <c r="F423" s="78"/>
      <c r="G423" s="78"/>
      <c r="H423" s="13"/>
      <c r="I423" s="13"/>
      <c r="J423" s="13"/>
      <c r="K423" s="13"/>
      <c r="L423" s="13"/>
      <c r="M423" s="8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>
      <c r="A424" s="13"/>
      <c r="B424" s="13"/>
      <c r="C424" s="13"/>
      <c r="D424" s="13"/>
      <c r="E424" s="13"/>
      <c r="F424" s="78"/>
      <c r="G424" s="78"/>
      <c r="H424" s="13"/>
      <c r="I424" s="13"/>
      <c r="J424" s="13"/>
      <c r="K424" s="13"/>
      <c r="L424" s="13"/>
      <c r="M424" s="8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>
      <c r="A425" s="13"/>
      <c r="B425" s="13"/>
      <c r="C425" s="13"/>
      <c r="D425" s="13"/>
      <c r="E425" s="13"/>
      <c r="F425" s="78"/>
      <c r="G425" s="78"/>
      <c r="H425" s="13"/>
      <c r="I425" s="13"/>
      <c r="J425" s="13"/>
      <c r="K425" s="13"/>
      <c r="L425" s="13"/>
      <c r="M425" s="8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>
      <c r="A426" s="13"/>
      <c r="B426" s="13"/>
      <c r="C426" s="13"/>
      <c r="D426" s="13"/>
      <c r="E426" s="13"/>
      <c r="F426" s="78"/>
      <c r="G426" s="78"/>
      <c r="H426" s="13"/>
      <c r="I426" s="13"/>
      <c r="J426" s="13"/>
      <c r="K426" s="13"/>
      <c r="L426" s="13"/>
      <c r="M426" s="8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>
      <c r="A427" s="13"/>
      <c r="B427" s="13"/>
      <c r="C427" s="13"/>
      <c r="D427" s="13"/>
      <c r="E427" s="13"/>
      <c r="F427" s="78"/>
      <c r="G427" s="78"/>
      <c r="H427" s="13"/>
      <c r="I427" s="13"/>
      <c r="J427" s="13"/>
      <c r="K427" s="13"/>
      <c r="L427" s="13"/>
      <c r="M427" s="8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>
      <c r="A428" s="13"/>
      <c r="B428" s="13"/>
      <c r="C428" s="13"/>
      <c r="D428" s="13"/>
      <c r="E428" s="13"/>
      <c r="F428" s="78"/>
      <c r="G428" s="78"/>
      <c r="H428" s="13"/>
      <c r="I428" s="13"/>
      <c r="J428" s="13"/>
      <c r="K428" s="13"/>
      <c r="L428" s="13"/>
      <c r="M428" s="8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>
      <c r="A429" s="13"/>
      <c r="B429" s="13"/>
      <c r="C429" s="13"/>
      <c r="D429" s="13"/>
      <c r="E429" s="13"/>
      <c r="F429" s="78"/>
      <c r="G429" s="78"/>
      <c r="H429" s="13"/>
      <c r="I429" s="13"/>
      <c r="J429" s="13"/>
      <c r="K429" s="13"/>
      <c r="L429" s="13"/>
      <c r="M429" s="8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>
      <c r="A430" s="13"/>
      <c r="B430" s="13"/>
      <c r="C430" s="13"/>
      <c r="D430" s="13"/>
      <c r="E430" s="13"/>
      <c r="F430" s="78"/>
      <c r="G430" s="78"/>
      <c r="H430" s="13"/>
      <c r="I430" s="13"/>
      <c r="J430" s="13"/>
      <c r="K430" s="13"/>
      <c r="L430" s="13"/>
      <c r="M430" s="8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>
      <c r="A431" s="13"/>
      <c r="B431" s="13"/>
      <c r="C431" s="13"/>
      <c r="D431" s="13"/>
      <c r="E431" s="13"/>
      <c r="F431" s="78"/>
      <c r="G431" s="78"/>
      <c r="H431" s="13"/>
      <c r="I431" s="13"/>
      <c r="J431" s="13"/>
      <c r="K431" s="13"/>
      <c r="L431" s="13"/>
      <c r="M431" s="8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>
      <c r="A432" s="13"/>
      <c r="B432" s="13"/>
      <c r="C432" s="13"/>
      <c r="D432" s="13"/>
      <c r="E432" s="13"/>
      <c r="F432" s="78"/>
      <c r="G432" s="78"/>
      <c r="H432" s="13"/>
      <c r="I432" s="13"/>
      <c r="J432" s="13"/>
      <c r="K432" s="13"/>
      <c r="L432" s="13"/>
      <c r="M432" s="8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>
      <c r="A433" s="13"/>
      <c r="B433" s="13"/>
      <c r="C433" s="13"/>
      <c r="D433" s="13"/>
      <c r="E433" s="13"/>
      <c r="F433" s="78"/>
      <c r="G433" s="78"/>
      <c r="H433" s="13"/>
      <c r="I433" s="13"/>
      <c r="J433" s="13"/>
      <c r="K433" s="13"/>
      <c r="L433" s="13"/>
      <c r="M433" s="8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>
      <c r="A434" s="13"/>
      <c r="B434" s="13"/>
      <c r="C434" s="13"/>
      <c r="D434" s="13"/>
      <c r="E434" s="13"/>
      <c r="F434" s="78"/>
      <c r="G434" s="78"/>
      <c r="H434" s="13"/>
      <c r="I434" s="13"/>
      <c r="J434" s="13"/>
      <c r="K434" s="13"/>
      <c r="L434" s="13"/>
      <c r="M434" s="8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>
      <c r="A435" s="13"/>
      <c r="B435" s="13"/>
      <c r="C435" s="13"/>
      <c r="D435" s="13"/>
      <c r="E435" s="13"/>
      <c r="F435" s="78"/>
      <c r="G435" s="78"/>
      <c r="H435" s="13"/>
      <c r="I435" s="13"/>
      <c r="J435" s="13"/>
      <c r="K435" s="13"/>
      <c r="L435" s="13"/>
      <c r="M435" s="8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>
      <c r="A436" s="13"/>
      <c r="B436" s="13"/>
      <c r="C436" s="13"/>
      <c r="D436" s="13"/>
      <c r="E436" s="13"/>
      <c r="F436" s="78"/>
      <c r="G436" s="78"/>
      <c r="H436" s="13"/>
      <c r="I436" s="13"/>
      <c r="J436" s="13"/>
      <c r="K436" s="13"/>
      <c r="L436" s="13"/>
      <c r="M436" s="8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>
      <c r="A437" s="13"/>
      <c r="B437" s="13"/>
      <c r="C437" s="13"/>
      <c r="D437" s="13"/>
      <c r="E437" s="13"/>
      <c r="F437" s="78"/>
      <c r="G437" s="78"/>
      <c r="H437" s="13"/>
      <c r="I437" s="13"/>
      <c r="J437" s="13"/>
      <c r="K437" s="13"/>
      <c r="L437" s="13"/>
      <c r="M437" s="8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>
      <c r="A438" s="13"/>
      <c r="B438" s="13"/>
      <c r="C438" s="13"/>
      <c r="D438" s="13"/>
      <c r="E438" s="13"/>
      <c r="F438" s="78"/>
      <c r="G438" s="78"/>
      <c r="H438" s="13"/>
      <c r="I438" s="13"/>
      <c r="J438" s="13"/>
      <c r="K438" s="13"/>
      <c r="L438" s="13"/>
      <c r="M438" s="8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>
      <c r="A439" s="13"/>
      <c r="B439" s="13"/>
      <c r="C439" s="13"/>
      <c r="D439" s="13"/>
      <c r="E439" s="13"/>
      <c r="F439" s="78"/>
      <c r="G439" s="78"/>
      <c r="H439" s="13"/>
      <c r="I439" s="13"/>
      <c r="J439" s="13"/>
      <c r="K439" s="13"/>
      <c r="L439" s="13"/>
      <c r="M439" s="8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>
      <c r="A440" s="13"/>
      <c r="B440" s="13"/>
      <c r="C440" s="13"/>
      <c r="D440" s="13"/>
      <c r="E440" s="13"/>
      <c r="F440" s="78"/>
      <c r="G440" s="78"/>
      <c r="H440" s="13"/>
      <c r="I440" s="13"/>
      <c r="J440" s="13"/>
      <c r="K440" s="13"/>
      <c r="L440" s="13"/>
      <c r="M440" s="8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>
      <c r="A441" s="13"/>
      <c r="B441" s="13"/>
      <c r="C441" s="13"/>
      <c r="D441" s="13"/>
      <c r="E441" s="13"/>
      <c r="F441" s="78"/>
      <c r="G441" s="78"/>
      <c r="H441" s="13"/>
      <c r="I441" s="13"/>
      <c r="J441" s="13"/>
      <c r="K441" s="13"/>
      <c r="L441" s="13"/>
      <c r="M441" s="8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>
      <c r="A442" s="13"/>
      <c r="B442" s="13"/>
      <c r="C442" s="13"/>
      <c r="D442" s="13"/>
      <c r="E442" s="13"/>
      <c r="F442" s="78"/>
      <c r="G442" s="78"/>
      <c r="H442" s="13"/>
      <c r="I442" s="13"/>
      <c r="J442" s="13"/>
      <c r="K442" s="13"/>
      <c r="L442" s="13"/>
      <c r="M442" s="8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>
      <c r="A443" s="13"/>
      <c r="B443" s="13"/>
      <c r="C443" s="13"/>
      <c r="D443" s="13"/>
      <c r="E443" s="13"/>
      <c r="F443" s="78"/>
      <c r="G443" s="78"/>
      <c r="H443" s="13"/>
      <c r="I443" s="13"/>
      <c r="J443" s="13"/>
      <c r="K443" s="13"/>
      <c r="L443" s="13"/>
      <c r="M443" s="8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>
      <c r="A444" s="13"/>
      <c r="B444" s="13"/>
      <c r="C444" s="13"/>
      <c r="D444" s="13"/>
      <c r="E444" s="13"/>
      <c r="F444" s="78"/>
      <c r="G444" s="78"/>
      <c r="H444" s="13"/>
      <c r="I444" s="13"/>
      <c r="J444" s="13"/>
      <c r="K444" s="13"/>
      <c r="L444" s="13"/>
      <c r="M444" s="8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>
      <c r="A445" s="13"/>
      <c r="B445" s="13"/>
      <c r="C445" s="13"/>
      <c r="D445" s="13"/>
      <c r="E445" s="13"/>
      <c r="F445" s="78"/>
      <c r="G445" s="78"/>
      <c r="H445" s="13"/>
      <c r="I445" s="13"/>
      <c r="J445" s="13"/>
      <c r="K445" s="13"/>
      <c r="L445" s="13"/>
      <c r="M445" s="8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>
      <c r="A446" s="13"/>
      <c r="B446" s="13"/>
      <c r="C446" s="13"/>
      <c r="D446" s="13"/>
      <c r="E446" s="13"/>
      <c r="F446" s="78"/>
      <c r="G446" s="78"/>
      <c r="H446" s="13"/>
      <c r="I446" s="13"/>
      <c r="J446" s="13"/>
      <c r="K446" s="13"/>
      <c r="L446" s="13"/>
      <c r="M446" s="8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>
      <c r="A447" s="13"/>
      <c r="B447" s="13"/>
      <c r="C447" s="13"/>
      <c r="D447" s="13"/>
      <c r="E447" s="13"/>
      <c r="F447" s="78"/>
      <c r="G447" s="78"/>
      <c r="H447" s="13"/>
      <c r="I447" s="13"/>
      <c r="J447" s="13"/>
      <c r="K447" s="13"/>
      <c r="L447" s="13"/>
      <c r="M447" s="8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>
      <c r="A448" s="13"/>
      <c r="B448" s="13"/>
      <c r="C448" s="13"/>
      <c r="D448" s="13"/>
      <c r="E448" s="13"/>
      <c r="F448" s="78"/>
      <c r="G448" s="78"/>
      <c r="H448" s="13"/>
      <c r="I448" s="13"/>
      <c r="J448" s="13"/>
      <c r="K448" s="13"/>
      <c r="L448" s="13"/>
      <c r="M448" s="8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>
      <c r="A449" s="13"/>
      <c r="B449" s="13"/>
      <c r="C449" s="13"/>
      <c r="D449" s="13"/>
      <c r="E449" s="13"/>
      <c r="F449" s="78"/>
      <c r="G449" s="78"/>
      <c r="H449" s="13"/>
      <c r="I449" s="13"/>
      <c r="J449" s="13"/>
      <c r="K449" s="13"/>
      <c r="L449" s="13"/>
      <c r="M449" s="8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>
      <c r="A450" s="13"/>
      <c r="B450" s="13"/>
      <c r="C450" s="13"/>
      <c r="D450" s="13"/>
      <c r="E450" s="13"/>
      <c r="F450" s="78"/>
      <c r="G450" s="78"/>
      <c r="H450" s="13"/>
      <c r="I450" s="13"/>
      <c r="J450" s="13"/>
      <c r="K450" s="13"/>
      <c r="L450" s="13"/>
      <c r="M450" s="8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>
      <c r="A451" s="13"/>
      <c r="B451" s="13"/>
      <c r="C451" s="13"/>
      <c r="D451" s="13"/>
      <c r="E451" s="13"/>
      <c r="F451" s="78"/>
      <c r="G451" s="78"/>
      <c r="H451" s="13"/>
      <c r="I451" s="13"/>
      <c r="J451" s="13"/>
      <c r="K451" s="13"/>
      <c r="L451" s="13"/>
      <c r="M451" s="8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>
      <c r="A452" s="13"/>
      <c r="B452" s="13"/>
      <c r="C452" s="13"/>
      <c r="D452" s="13"/>
      <c r="E452" s="13"/>
      <c r="F452" s="78"/>
      <c r="G452" s="78"/>
      <c r="H452" s="13"/>
      <c r="I452" s="13"/>
      <c r="J452" s="13"/>
      <c r="K452" s="13"/>
      <c r="L452" s="13"/>
      <c r="M452" s="8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>
      <c r="A453" s="13"/>
      <c r="B453" s="13"/>
      <c r="C453" s="13"/>
      <c r="D453" s="13"/>
      <c r="E453" s="13"/>
      <c r="F453" s="78"/>
      <c r="G453" s="78"/>
      <c r="H453" s="13"/>
      <c r="I453" s="13"/>
      <c r="J453" s="13"/>
      <c r="K453" s="13"/>
      <c r="L453" s="13"/>
      <c r="M453" s="8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>
      <c r="A454" s="13"/>
      <c r="B454" s="13"/>
      <c r="C454" s="13"/>
      <c r="D454" s="13"/>
      <c r="E454" s="13"/>
      <c r="F454" s="78"/>
      <c r="G454" s="78"/>
      <c r="H454" s="13"/>
      <c r="I454" s="13"/>
      <c r="J454" s="13"/>
      <c r="K454" s="13"/>
      <c r="L454" s="13"/>
      <c r="M454" s="8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>
      <c r="A455" s="13"/>
      <c r="B455" s="13"/>
      <c r="C455" s="13"/>
      <c r="D455" s="13"/>
      <c r="E455" s="13"/>
      <c r="F455" s="78"/>
      <c r="G455" s="78"/>
      <c r="H455" s="13"/>
      <c r="I455" s="13"/>
      <c r="J455" s="13"/>
      <c r="K455" s="13"/>
      <c r="L455" s="13"/>
      <c r="M455" s="8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>
      <c r="A456" s="13"/>
      <c r="B456" s="13"/>
      <c r="C456" s="13"/>
      <c r="D456" s="13"/>
      <c r="E456" s="13"/>
      <c r="F456" s="78"/>
      <c r="G456" s="78"/>
      <c r="H456" s="13"/>
      <c r="I456" s="13"/>
      <c r="J456" s="13"/>
      <c r="K456" s="13"/>
      <c r="L456" s="13"/>
      <c r="M456" s="8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>
      <c r="A457" s="13"/>
      <c r="B457" s="13"/>
      <c r="C457" s="13"/>
      <c r="D457" s="13"/>
      <c r="E457" s="13"/>
      <c r="F457" s="78"/>
      <c r="G457" s="78"/>
      <c r="H457" s="13"/>
      <c r="I457" s="13"/>
      <c r="J457" s="13"/>
      <c r="K457" s="13"/>
      <c r="L457" s="13"/>
      <c r="M457" s="8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>
      <c r="A458" s="13"/>
      <c r="B458" s="13"/>
      <c r="C458" s="13"/>
      <c r="D458" s="13"/>
      <c r="E458" s="13"/>
      <c r="F458" s="78"/>
      <c r="G458" s="78"/>
      <c r="H458" s="13"/>
      <c r="I458" s="13"/>
      <c r="J458" s="13"/>
      <c r="K458" s="13"/>
      <c r="L458" s="13"/>
      <c r="M458" s="8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>
      <c r="A459" s="13"/>
      <c r="B459" s="13"/>
      <c r="C459" s="13"/>
      <c r="D459" s="13"/>
      <c r="E459" s="13"/>
      <c r="F459" s="78"/>
      <c r="G459" s="78"/>
      <c r="H459" s="13"/>
      <c r="I459" s="13"/>
      <c r="J459" s="13"/>
      <c r="K459" s="13"/>
      <c r="L459" s="13"/>
      <c r="M459" s="8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>
      <c r="A460" s="13"/>
      <c r="B460" s="13"/>
      <c r="C460" s="13"/>
      <c r="D460" s="13"/>
      <c r="E460" s="13"/>
      <c r="F460" s="78"/>
      <c r="G460" s="78"/>
      <c r="H460" s="13"/>
      <c r="I460" s="13"/>
      <c r="J460" s="13"/>
      <c r="K460" s="13"/>
      <c r="L460" s="13"/>
      <c r="M460" s="8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>
      <c r="A461" s="13"/>
      <c r="B461" s="13"/>
      <c r="C461" s="13"/>
      <c r="D461" s="13"/>
      <c r="E461" s="13"/>
      <c r="F461" s="78"/>
      <c r="G461" s="78"/>
      <c r="H461" s="13"/>
      <c r="I461" s="13"/>
      <c r="J461" s="13"/>
      <c r="K461" s="13"/>
      <c r="L461" s="13"/>
      <c r="M461" s="8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>
      <c r="A462" s="13"/>
      <c r="B462" s="13"/>
      <c r="C462" s="13"/>
      <c r="D462" s="13"/>
      <c r="E462" s="13"/>
      <c r="F462" s="78"/>
      <c r="G462" s="78"/>
      <c r="H462" s="13"/>
      <c r="I462" s="13"/>
      <c r="J462" s="13"/>
      <c r="K462" s="13"/>
      <c r="L462" s="13"/>
      <c r="M462" s="8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>
      <c r="A463" s="13"/>
      <c r="B463" s="13"/>
      <c r="C463" s="13"/>
      <c r="D463" s="13"/>
      <c r="E463" s="13"/>
      <c r="F463" s="78"/>
      <c r="G463" s="78"/>
      <c r="H463" s="13"/>
      <c r="I463" s="13"/>
      <c r="J463" s="13"/>
      <c r="K463" s="13"/>
      <c r="L463" s="13"/>
      <c r="M463" s="8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>
      <c r="A464" s="13"/>
      <c r="B464" s="13"/>
      <c r="C464" s="13"/>
      <c r="D464" s="13"/>
      <c r="E464" s="13"/>
      <c r="F464" s="78"/>
      <c r="G464" s="78"/>
      <c r="H464" s="13"/>
      <c r="I464" s="13"/>
      <c r="J464" s="13"/>
      <c r="K464" s="13"/>
      <c r="L464" s="13"/>
      <c r="M464" s="8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>
      <c r="A465" s="13"/>
      <c r="B465" s="13"/>
      <c r="C465" s="13"/>
      <c r="D465" s="13"/>
      <c r="E465" s="13"/>
      <c r="F465" s="78"/>
      <c r="G465" s="78"/>
      <c r="H465" s="13"/>
      <c r="I465" s="13"/>
      <c r="J465" s="13"/>
      <c r="K465" s="13"/>
      <c r="L465" s="13"/>
      <c r="M465" s="8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>
      <c r="A466" s="13"/>
      <c r="B466" s="13"/>
      <c r="C466" s="13"/>
      <c r="D466" s="13"/>
      <c r="E466" s="13"/>
      <c r="F466" s="78"/>
      <c r="G466" s="78"/>
      <c r="H466" s="13"/>
      <c r="I466" s="13"/>
      <c r="J466" s="13"/>
      <c r="K466" s="13"/>
      <c r="L466" s="13"/>
      <c r="M466" s="8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>
      <c r="A467" s="13"/>
      <c r="B467" s="13"/>
      <c r="C467" s="13"/>
      <c r="D467" s="13"/>
      <c r="E467" s="13"/>
      <c r="F467" s="78"/>
      <c r="G467" s="78"/>
      <c r="H467" s="13"/>
      <c r="I467" s="13"/>
      <c r="J467" s="13"/>
      <c r="K467" s="13"/>
      <c r="L467" s="13"/>
      <c r="M467" s="8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>
      <c r="A468" s="13"/>
      <c r="B468" s="13"/>
      <c r="C468" s="13"/>
      <c r="D468" s="13"/>
      <c r="E468" s="13"/>
      <c r="F468" s="78"/>
      <c r="G468" s="78"/>
      <c r="H468" s="13"/>
      <c r="I468" s="13"/>
      <c r="J468" s="13"/>
      <c r="K468" s="13"/>
      <c r="L468" s="13"/>
      <c r="M468" s="8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>
      <c r="A469" s="13"/>
      <c r="B469" s="13"/>
      <c r="C469" s="13"/>
      <c r="D469" s="13"/>
      <c r="E469" s="13"/>
      <c r="F469" s="78"/>
      <c r="G469" s="78"/>
      <c r="H469" s="13"/>
      <c r="I469" s="13"/>
      <c r="J469" s="13"/>
      <c r="K469" s="13"/>
      <c r="L469" s="13"/>
      <c r="M469" s="8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>
      <c r="A470" s="13"/>
      <c r="B470" s="13"/>
      <c r="C470" s="13"/>
      <c r="D470" s="13"/>
      <c r="E470" s="13"/>
      <c r="F470" s="78"/>
      <c r="G470" s="78"/>
      <c r="H470" s="13"/>
      <c r="I470" s="13"/>
      <c r="J470" s="13"/>
      <c r="K470" s="13"/>
      <c r="L470" s="13"/>
      <c r="M470" s="8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>
      <c r="A471" s="13"/>
      <c r="B471" s="13"/>
      <c r="C471" s="13"/>
      <c r="D471" s="13"/>
      <c r="E471" s="13"/>
      <c r="F471" s="78"/>
      <c r="G471" s="78"/>
      <c r="H471" s="13"/>
      <c r="I471" s="13"/>
      <c r="J471" s="13"/>
      <c r="K471" s="13"/>
      <c r="L471" s="13"/>
      <c r="M471" s="8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>
      <c r="A472" s="13"/>
      <c r="B472" s="13"/>
      <c r="C472" s="13"/>
      <c r="D472" s="13"/>
      <c r="E472" s="13"/>
      <c r="F472" s="78"/>
      <c r="G472" s="78"/>
      <c r="H472" s="13"/>
      <c r="I472" s="13"/>
      <c r="J472" s="13"/>
      <c r="K472" s="13"/>
      <c r="L472" s="13"/>
      <c r="M472" s="8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>
      <c r="A473" s="13"/>
      <c r="B473" s="13"/>
      <c r="C473" s="13"/>
      <c r="D473" s="13"/>
      <c r="E473" s="13"/>
      <c r="F473" s="78"/>
      <c r="G473" s="78"/>
      <c r="H473" s="13"/>
      <c r="I473" s="13"/>
      <c r="J473" s="13"/>
      <c r="K473" s="13"/>
      <c r="L473" s="13"/>
      <c r="M473" s="8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>
      <c r="A474" s="13"/>
      <c r="B474" s="13"/>
      <c r="C474" s="13"/>
      <c r="D474" s="13"/>
      <c r="E474" s="13"/>
      <c r="F474" s="78"/>
      <c r="G474" s="78"/>
      <c r="H474" s="13"/>
      <c r="I474" s="13"/>
      <c r="J474" s="13"/>
      <c r="K474" s="13"/>
      <c r="L474" s="13"/>
      <c r="M474" s="8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>
      <c r="A475" s="13"/>
      <c r="B475" s="13"/>
      <c r="C475" s="13"/>
      <c r="D475" s="13"/>
      <c r="E475" s="13"/>
      <c r="F475" s="78"/>
      <c r="G475" s="78"/>
      <c r="H475" s="13"/>
      <c r="I475" s="13"/>
      <c r="J475" s="13"/>
      <c r="K475" s="13"/>
      <c r="L475" s="13"/>
      <c r="M475" s="8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>
      <c r="A476" s="13"/>
      <c r="B476" s="13"/>
      <c r="C476" s="13"/>
      <c r="D476" s="13"/>
      <c r="E476" s="13"/>
      <c r="F476" s="78"/>
      <c r="G476" s="78"/>
      <c r="H476" s="13"/>
      <c r="I476" s="13"/>
      <c r="J476" s="13"/>
      <c r="K476" s="13"/>
      <c r="L476" s="13"/>
      <c r="M476" s="8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>
      <c r="A477" s="13"/>
      <c r="B477" s="13"/>
      <c r="C477" s="13"/>
      <c r="D477" s="13"/>
      <c r="E477" s="13"/>
      <c r="F477" s="78"/>
      <c r="G477" s="78"/>
      <c r="H477" s="13"/>
      <c r="I477" s="13"/>
      <c r="J477" s="13"/>
      <c r="K477" s="13"/>
      <c r="L477" s="13"/>
      <c r="M477" s="8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>
      <c r="A478" s="13"/>
      <c r="B478" s="13"/>
      <c r="C478" s="13"/>
      <c r="D478" s="13"/>
      <c r="E478" s="13"/>
      <c r="F478" s="78"/>
      <c r="G478" s="78"/>
      <c r="H478" s="13"/>
      <c r="I478" s="13"/>
      <c r="J478" s="13"/>
      <c r="K478" s="13"/>
      <c r="L478" s="13"/>
      <c r="M478" s="8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>
      <c r="A479" s="13"/>
      <c r="B479" s="13"/>
      <c r="C479" s="13"/>
      <c r="D479" s="13"/>
      <c r="E479" s="13"/>
      <c r="F479" s="78"/>
      <c r="G479" s="78"/>
      <c r="H479" s="13"/>
      <c r="I479" s="13"/>
      <c r="J479" s="13"/>
      <c r="K479" s="13"/>
      <c r="L479" s="13"/>
      <c r="M479" s="8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>
      <c r="A480" s="13"/>
      <c r="B480" s="13"/>
      <c r="C480" s="13"/>
      <c r="D480" s="13"/>
      <c r="E480" s="13"/>
      <c r="F480" s="78"/>
      <c r="G480" s="78"/>
      <c r="H480" s="13"/>
      <c r="I480" s="13"/>
      <c r="J480" s="13"/>
      <c r="K480" s="13"/>
      <c r="L480" s="13"/>
      <c r="M480" s="8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>
      <c r="A481" s="13"/>
      <c r="B481" s="13"/>
      <c r="C481" s="13"/>
      <c r="D481" s="13"/>
      <c r="E481" s="13"/>
      <c r="F481" s="78"/>
      <c r="G481" s="78"/>
      <c r="H481" s="13"/>
      <c r="I481" s="13"/>
      <c r="J481" s="13"/>
      <c r="K481" s="13"/>
      <c r="L481" s="13"/>
      <c r="M481" s="8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>
      <c r="A482" s="13"/>
      <c r="B482" s="13"/>
      <c r="C482" s="13"/>
      <c r="D482" s="13"/>
      <c r="E482" s="13"/>
      <c r="F482" s="78"/>
      <c r="G482" s="78"/>
      <c r="H482" s="13"/>
      <c r="I482" s="13"/>
      <c r="J482" s="13"/>
      <c r="K482" s="13"/>
      <c r="L482" s="13"/>
      <c r="M482" s="8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>
      <c r="A483" s="13"/>
      <c r="B483" s="13"/>
      <c r="C483" s="13"/>
      <c r="D483" s="13"/>
      <c r="E483" s="13"/>
      <c r="F483" s="78"/>
      <c r="G483" s="78"/>
      <c r="H483" s="13"/>
      <c r="I483" s="13"/>
      <c r="J483" s="13"/>
      <c r="K483" s="13"/>
      <c r="L483" s="13"/>
      <c r="M483" s="8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>
      <c r="A484" s="13"/>
      <c r="B484" s="13"/>
      <c r="C484" s="13"/>
      <c r="D484" s="13"/>
      <c r="E484" s="13"/>
      <c r="F484" s="78"/>
      <c r="G484" s="78"/>
      <c r="H484" s="13"/>
      <c r="I484" s="13"/>
      <c r="J484" s="13"/>
      <c r="K484" s="13"/>
      <c r="L484" s="13"/>
      <c r="M484" s="8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>
      <c r="A485" s="13"/>
      <c r="B485" s="13"/>
      <c r="C485" s="13"/>
      <c r="D485" s="13"/>
      <c r="E485" s="13"/>
      <c r="F485" s="78"/>
      <c r="G485" s="78"/>
      <c r="H485" s="13"/>
      <c r="I485" s="13"/>
      <c r="J485" s="13"/>
      <c r="K485" s="13"/>
      <c r="L485" s="13"/>
      <c r="M485" s="8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>
      <c r="A486" s="13"/>
      <c r="B486" s="13"/>
      <c r="C486" s="13"/>
      <c r="D486" s="13"/>
      <c r="E486" s="13"/>
      <c r="F486" s="78"/>
      <c r="G486" s="78"/>
      <c r="H486" s="13"/>
      <c r="I486" s="13"/>
      <c r="J486" s="13"/>
      <c r="K486" s="13"/>
      <c r="L486" s="13"/>
      <c r="M486" s="8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>
      <c r="A487" s="13"/>
      <c r="B487" s="13"/>
      <c r="C487" s="13"/>
      <c r="D487" s="13"/>
      <c r="E487" s="13"/>
      <c r="F487" s="78"/>
      <c r="G487" s="78"/>
      <c r="H487" s="13"/>
      <c r="I487" s="13"/>
      <c r="J487" s="13"/>
      <c r="K487" s="13"/>
      <c r="L487" s="13"/>
      <c r="M487" s="8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>
      <c r="A488" s="13"/>
      <c r="B488" s="13"/>
      <c r="C488" s="13"/>
      <c r="D488" s="13"/>
      <c r="E488" s="13"/>
      <c r="F488" s="78"/>
      <c r="G488" s="78"/>
      <c r="H488" s="13"/>
      <c r="I488" s="13"/>
      <c r="J488" s="13"/>
      <c r="K488" s="13"/>
      <c r="L488" s="13"/>
      <c r="M488" s="8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>
      <c r="A489" s="13"/>
      <c r="B489" s="13"/>
      <c r="C489" s="13"/>
      <c r="D489" s="13"/>
      <c r="E489" s="13"/>
      <c r="F489" s="78"/>
      <c r="G489" s="78"/>
      <c r="H489" s="13"/>
      <c r="I489" s="13"/>
      <c r="J489" s="13"/>
      <c r="K489" s="13"/>
      <c r="L489" s="13"/>
      <c r="M489" s="8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>
      <c r="A490" s="13"/>
      <c r="B490" s="13"/>
      <c r="C490" s="13"/>
      <c r="D490" s="13"/>
      <c r="E490" s="13"/>
      <c r="F490" s="78"/>
      <c r="G490" s="78"/>
      <c r="H490" s="13"/>
      <c r="I490" s="13"/>
      <c r="J490" s="13"/>
      <c r="K490" s="13"/>
      <c r="L490" s="13"/>
      <c r="M490" s="8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>
      <c r="A491" s="13"/>
      <c r="B491" s="13"/>
      <c r="C491" s="13"/>
      <c r="D491" s="13"/>
      <c r="E491" s="13"/>
      <c r="F491" s="78"/>
      <c r="G491" s="78"/>
      <c r="H491" s="13"/>
      <c r="I491" s="13"/>
      <c r="J491" s="13"/>
      <c r="K491" s="13"/>
      <c r="L491" s="13"/>
      <c r="M491" s="8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>
      <c r="A492" s="13"/>
      <c r="B492" s="13"/>
      <c r="C492" s="13"/>
      <c r="D492" s="13"/>
      <c r="E492" s="13"/>
      <c r="F492" s="78"/>
      <c r="G492" s="78"/>
      <c r="H492" s="13"/>
      <c r="I492" s="13"/>
      <c r="J492" s="13"/>
      <c r="K492" s="13"/>
      <c r="L492" s="13"/>
      <c r="M492" s="8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>
      <c r="A493" s="13"/>
      <c r="B493" s="13"/>
      <c r="C493" s="13"/>
      <c r="D493" s="13"/>
      <c r="E493" s="13"/>
      <c r="F493" s="78"/>
      <c r="G493" s="78"/>
      <c r="H493" s="13"/>
      <c r="I493" s="13"/>
      <c r="J493" s="13"/>
      <c r="K493" s="13"/>
      <c r="L493" s="13"/>
      <c r="M493" s="8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>
      <c r="A494" s="13"/>
      <c r="B494" s="13"/>
      <c r="C494" s="13"/>
      <c r="D494" s="13"/>
      <c r="E494" s="13"/>
      <c r="F494" s="78"/>
      <c r="G494" s="78"/>
      <c r="H494" s="13"/>
      <c r="I494" s="13"/>
      <c r="J494" s="13"/>
      <c r="K494" s="13"/>
      <c r="L494" s="13"/>
      <c r="M494" s="8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>
      <c r="A495" s="13"/>
      <c r="B495" s="13"/>
      <c r="C495" s="13"/>
      <c r="D495" s="13"/>
      <c r="E495" s="13"/>
      <c r="F495" s="78"/>
      <c r="G495" s="78"/>
      <c r="H495" s="13"/>
      <c r="I495" s="13"/>
      <c r="J495" s="13"/>
      <c r="K495" s="13"/>
      <c r="L495" s="13"/>
      <c r="M495" s="8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>
      <c r="A496" s="13"/>
      <c r="B496" s="13"/>
      <c r="C496" s="13"/>
      <c r="D496" s="13"/>
      <c r="E496" s="13"/>
      <c r="F496" s="78"/>
      <c r="G496" s="78"/>
      <c r="H496" s="13"/>
      <c r="I496" s="13"/>
      <c r="J496" s="13"/>
      <c r="K496" s="13"/>
      <c r="L496" s="13"/>
      <c r="M496" s="8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>
      <c r="A497" s="13"/>
      <c r="B497" s="13"/>
      <c r="C497" s="13"/>
      <c r="D497" s="13"/>
      <c r="E497" s="13"/>
      <c r="F497" s="78"/>
      <c r="G497" s="78"/>
      <c r="H497" s="13"/>
      <c r="I497" s="13"/>
      <c r="J497" s="13"/>
      <c r="K497" s="13"/>
      <c r="L497" s="13"/>
      <c r="M497" s="8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>
      <c r="A498" s="13"/>
      <c r="B498" s="13"/>
      <c r="C498" s="13"/>
      <c r="D498" s="13"/>
      <c r="E498" s="13"/>
      <c r="F498" s="78"/>
      <c r="G498" s="78"/>
      <c r="H498" s="13"/>
      <c r="I498" s="13"/>
      <c r="J498" s="13"/>
      <c r="K498" s="13"/>
      <c r="L498" s="13"/>
      <c r="M498" s="8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>
      <c r="A499" s="13"/>
      <c r="B499" s="13"/>
      <c r="C499" s="13"/>
      <c r="D499" s="13"/>
      <c r="E499" s="13"/>
      <c r="F499" s="78"/>
      <c r="G499" s="78"/>
      <c r="H499" s="13"/>
      <c r="I499" s="13"/>
      <c r="J499" s="13"/>
      <c r="K499" s="13"/>
      <c r="L499" s="13"/>
      <c r="M499" s="8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>
      <c r="A500" s="13"/>
      <c r="B500" s="13"/>
      <c r="C500" s="13"/>
      <c r="D500" s="13"/>
      <c r="E500" s="13"/>
      <c r="F500" s="78"/>
      <c r="G500" s="78"/>
      <c r="H500" s="13"/>
      <c r="I500" s="13"/>
      <c r="J500" s="13"/>
      <c r="K500" s="13"/>
      <c r="L500" s="13"/>
      <c r="M500" s="8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>
      <c r="A501" s="13"/>
      <c r="B501" s="13"/>
      <c r="C501" s="13"/>
      <c r="D501" s="13"/>
      <c r="E501" s="13"/>
      <c r="F501" s="78"/>
      <c r="G501" s="78"/>
      <c r="H501" s="13"/>
      <c r="I501" s="13"/>
      <c r="J501" s="13"/>
      <c r="K501" s="13"/>
      <c r="L501" s="13"/>
      <c r="M501" s="8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>
      <c r="A502" s="13"/>
      <c r="B502" s="13"/>
      <c r="C502" s="13"/>
      <c r="D502" s="13"/>
      <c r="E502" s="13"/>
      <c r="F502" s="78"/>
      <c r="G502" s="78"/>
      <c r="H502" s="13"/>
      <c r="I502" s="13"/>
      <c r="J502" s="13"/>
      <c r="K502" s="13"/>
      <c r="L502" s="13"/>
      <c r="M502" s="8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>
      <c r="A503" s="13"/>
      <c r="B503" s="13"/>
      <c r="C503" s="13"/>
      <c r="D503" s="13"/>
      <c r="E503" s="13"/>
      <c r="F503" s="78"/>
      <c r="G503" s="78"/>
      <c r="H503" s="13"/>
      <c r="I503" s="13"/>
      <c r="J503" s="13"/>
      <c r="K503" s="13"/>
      <c r="L503" s="13"/>
      <c r="M503" s="8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>
      <c r="A504" s="13"/>
      <c r="B504" s="13"/>
      <c r="C504" s="13"/>
      <c r="D504" s="13"/>
      <c r="E504" s="13"/>
      <c r="F504" s="78"/>
      <c r="G504" s="78"/>
      <c r="H504" s="13"/>
      <c r="I504" s="13"/>
      <c r="J504" s="13"/>
      <c r="K504" s="13"/>
      <c r="L504" s="13"/>
      <c r="M504" s="8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>
      <c r="A505" s="13"/>
      <c r="B505" s="13"/>
      <c r="C505" s="13"/>
      <c r="D505" s="13"/>
      <c r="E505" s="13"/>
      <c r="F505" s="78"/>
      <c r="G505" s="78"/>
      <c r="H505" s="13"/>
      <c r="I505" s="13"/>
      <c r="J505" s="13"/>
      <c r="K505" s="13"/>
      <c r="L505" s="13"/>
      <c r="M505" s="8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>
      <c r="A506" s="13"/>
      <c r="B506" s="13"/>
      <c r="C506" s="13"/>
      <c r="D506" s="13"/>
      <c r="E506" s="13"/>
      <c r="F506" s="78"/>
      <c r="G506" s="78"/>
      <c r="H506" s="13"/>
      <c r="I506" s="13"/>
      <c r="J506" s="13"/>
      <c r="K506" s="13"/>
      <c r="L506" s="13"/>
      <c r="M506" s="8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>
      <c r="A507" s="13"/>
      <c r="B507" s="13"/>
      <c r="C507" s="13"/>
      <c r="D507" s="13"/>
      <c r="E507" s="13"/>
      <c r="F507" s="78"/>
      <c r="G507" s="78"/>
      <c r="H507" s="13"/>
      <c r="I507" s="13"/>
      <c r="J507" s="13"/>
      <c r="K507" s="13"/>
      <c r="L507" s="13"/>
      <c r="M507" s="8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>
      <c r="A508" s="13"/>
      <c r="B508" s="13"/>
      <c r="C508" s="13"/>
      <c r="D508" s="13"/>
      <c r="E508" s="13"/>
      <c r="F508" s="78"/>
      <c r="G508" s="78"/>
      <c r="H508" s="13"/>
      <c r="I508" s="13"/>
      <c r="J508" s="13"/>
      <c r="K508" s="13"/>
      <c r="L508" s="13"/>
      <c r="M508" s="8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>
      <c r="A509" s="13"/>
      <c r="B509" s="13"/>
      <c r="C509" s="13"/>
      <c r="D509" s="13"/>
      <c r="E509" s="13"/>
      <c r="F509" s="78"/>
      <c r="G509" s="78"/>
      <c r="H509" s="13"/>
      <c r="I509" s="13"/>
      <c r="J509" s="13"/>
      <c r="K509" s="13"/>
      <c r="L509" s="13"/>
      <c r="M509" s="8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>
      <c r="A510" s="13"/>
      <c r="B510" s="13"/>
      <c r="C510" s="13"/>
      <c r="D510" s="13"/>
      <c r="E510" s="13"/>
      <c r="F510" s="78"/>
      <c r="G510" s="78"/>
      <c r="H510" s="13"/>
      <c r="I510" s="13"/>
      <c r="J510" s="13"/>
      <c r="K510" s="13"/>
      <c r="L510" s="13"/>
      <c r="M510" s="8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>
      <c r="A511" s="13"/>
      <c r="B511" s="13"/>
      <c r="C511" s="13"/>
      <c r="D511" s="13"/>
      <c r="E511" s="13"/>
      <c r="F511" s="78"/>
      <c r="G511" s="78"/>
      <c r="H511" s="13"/>
      <c r="I511" s="13"/>
      <c r="J511" s="13"/>
      <c r="K511" s="13"/>
      <c r="L511" s="13"/>
      <c r="M511" s="8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>
      <c r="A512" s="13"/>
      <c r="B512" s="13"/>
      <c r="C512" s="13"/>
      <c r="D512" s="13"/>
      <c r="E512" s="13"/>
      <c r="F512" s="78"/>
      <c r="G512" s="78"/>
      <c r="H512" s="13"/>
      <c r="I512" s="13"/>
      <c r="J512" s="13"/>
      <c r="K512" s="13"/>
      <c r="L512" s="13"/>
      <c r="M512" s="8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>
      <c r="A513" s="13"/>
      <c r="B513" s="13"/>
      <c r="C513" s="13"/>
      <c r="D513" s="13"/>
      <c r="E513" s="13"/>
      <c r="F513" s="78"/>
      <c r="G513" s="78"/>
      <c r="H513" s="13"/>
      <c r="I513" s="13"/>
      <c r="J513" s="13"/>
      <c r="K513" s="13"/>
      <c r="L513" s="13"/>
      <c r="M513" s="8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>
      <c r="A514" s="13"/>
      <c r="B514" s="13"/>
      <c r="C514" s="13"/>
      <c r="D514" s="13"/>
      <c r="E514" s="13"/>
      <c r="F514" s="78"/>
      <c r="G514" s="78"/>
      <c r="H514" s="13"/>
      <c r="I514" s="13"/>
      <c r="J514" s="13"/>
      <c r="K514" s="13"/>
      <c r="L514" s="13"/>
      <c r="M514" s="8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>
      <c r="A515" s="13"/>
      <c r="B515" s="13"/>
      <c r="C515" s="13"/>
      <c r="D515" s="13"/>
      <c r="E515" s="13"/>
      <c r="F515" s="78"/>
      <c r="G515" s="78"/>
      <c r="H515" s="13"/>
      <c r="I515" s="13"/>
      <c r="J515" s="13"/>
      <c r="K515" s="13"/>
      <c r="L515" s="13"/>
      <c r="M515" s="8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>
      <c r="A516" s="13"/>
      <c r="B516" s="13"/>
      <c r="C516" s="13"/>
      <c r="D516" s="13"/>
      <c r="E516" s="13"/>
      <c r="F516" s="78"/>
      <c r="G516" s="78"/>
      <c r="H516" s="13"/>
      <c r="I516" s="13"/>
      <c r="J516" s="13"/>
      <c r="K516" s="13"/>
      <c r="L516" s="13"/>
      <c r="M516" s="8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>
      <c r="A517" s="13"/>
      <c r="B517" s="13"/>
      <c r="C517" s="13"/>
      <c r="D517" s="13"/>
      <c r="E517" s="13"/>
      <c r="F517" s="78"/>
      <c r="G517" s="78"/>
      <c r="H517" s="13"/>
      <c r="I517" s="13"/>
      <c r="J517" s="13"/>
      <c r="K517" s="13"/>
      <c r="L517" s="13"/>
      <c r="M517" s="8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>
      <c r="A518" s="13"/>
      <c r="B518" s="13"/>
      <c r="C518" s="13"/>
      <c r="D518" s="13"/>
      <c r="E518" s="13"/>
      <c r="F518" s="78"/>
      <c r="G518" s="78"/>
      <c r="H518" s="13"/>
      <c r="I518" s="13"/>
      <c r="J518" s="13"/>
      <c r="K518" s="13"/>
      <c r="L518" s="13"/>
      <c r="M518" s="8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>
      <c r="A519" s="13"/>
      <c r="B519" s="13"/>
      <c r="C519" s="13"/>
      <c r="D519" s="13"/>
      <c r="E519" s="13"/>
      <c r="F519" s="78"/>
      <c r="G519" s="78"/>
      <c r="H519" s="13"/>
      <c r="I519" s="13"/>
      <c r="J519" s="13"/>
      <c r="K519" s="13"/>
      <c r="L519" s="13"/>
      <c r="M519" s="8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>
      <c r="A520" s="13"/>
      <c r="B520" s="13"/>
      <c r="C520" s="13"/>
      <c r="D520" s="13"/>
      <c r="E520" s="13"/>
      <c r="F520" s="78"/>
      <c r="G520" s="78"/>
      <c r="H520" s="13"/>
      <c r="I520" s="13"/>
      <c r="J520" s="13"/>
      <c r="K520" s="13"/>
      <c r="L520" s="13"/>
      <c r="M520" s="8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>
      <c r="A521" s="13"/>
      <c r="B521" s="13"/>
      <c r="C521" s="13"/>
      <c r="D521" s="13"/>
      <c r="E521" s="13"/>
      <c r="F521" s="78"/>
      <c r="G521" s="78"/>
      <c r="H521" s="13"/>
      <c r="I521" s="13"/>
      <c r="J521" s="13"/>
      <c r="K521" s="13"/>
      <c r="L521" s="13"/>
      <c r="M521" s="8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>
      <c r="A522" s="13"/>
      <c r="B522" s="13"/>
      <c r="C522" s="13"/>
      <c r="D522" s="13"/>
      <c r="E522" s="13"/>
      <c r="F522" s="78"/>
      <c r="G522" s="78"/>
      <c r="H522" s="13"/>
      <c r="I522" s="13"/>
      <c r="J522" s="13"/>
      <c r="K522" s="13"/>
      <c r="L522" s="13"/>
      <c r="M522" s="8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>
      <c r="A523" s="13"/>
      <c r="B523" s="13"/>
      <c r="C523" s="13"/>
      <c r="D523" s="13"/>
      <c r="E523" s="13"/>
      <c r="F523" s="78"/>
      <c r="G523" s="78"/>
      <c r="H523" s="13"/>
      <c r="I523" s="13"/>
      <c r="J523" s="13"/>
      <c r="K523" s="13"/>
      <c r="L523" s="13"/>
      <c r="M523" s="8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>
      <c r="A524" s="13"/>
      <c r="B524" s="13"/>
      <c r="C524" s="13"/>
      <c r="D524" s="13"/>
      <c r="E524" s="13"/>
      <c r="F524" s="78"/>
      <c r="G524" s="78"/>
      <c r="H524" s="13"/>
      <c r="I524" s="13"/>
      <c r="J524" s="13"/>
      <c r="K524" s="13"/>
      <c r="L524" s="13"/>
      <c r="M524" s="8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>
      <c r="A525" s="13"/>
      <c r="B525" s="13"/>
      <c r="C525" s="13"/>
      <c r="D525" s="13"/>
      <c r="E525" s="13"/>
      <c r="F525" s="78"/>
      <c r="G525" s="78"/>
      <c r="H525" s="13"/>
      <c r="I525" s="13"/>
      <c r="J525" s="13"/>
      <c r="K525" s="13"/>
      <c r="L525" s="13"/>
      <c r="M525" s="8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>
      <c r="A526" s="13"/>
      <c r="B526" s="13"/>
      <c r="C526" s="13"/>
      <c r="D526" s="13"/>
      <c r="E526" s="13"/>
      <c r="F526" s="78"/>
      <c r="G526" s="78"/>
      <c r="H526" s="13"/>
      <c r="I526" s="13"/>
      <c r="J526" s="13"/>
      <c r="K526" s="13"/>
      <c r="L526" s="13"/>
      <c r="M526" s="8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>
      <c r="A527" s="13"/>
      <c r="B527" s="13"/>
      <c r="C527" s="13"/>
      <c r="D527" s="13"/>
      <c r="E527" s="13"/>
      <c r="F527" s="78"/>
      <c r="G527" s="78"/>
      <c r="H527" s="13"/>
      <c r="I527" s="13"/>
      <c r="J527" s="13"/>
      <c r="K527" s="13"/>
      <c r="L527" s="13"/>
      <c r="M527" s="8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>
      <c r="A528" s="13"/>
      <c r="B528" s="13"/>
      <c r="C528" s="13"/>
      <c r="D528" s="13"/>
      <c r="E528" s="13"/>
      <c r="F528" s="78"/>
      <c r="G528" s="78"/>
      <c r="H528" s="13"/>
      <c r="I528" s="13"/>
      <c r="J528" s="13"/>
      <c r="K528" s="13"/>
      <c r="L528" s="13"/>
      <c r="M528" s="8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>
      <c r="A529" s="13"/>
      <c r="B529" s="13"/>
      <c r="C529" s="13"/>
      <c r="D529" s="13"/>
      <c r="E529" s="13"/>
      <c r="F529" s="78"/>
      <c r="G529" s="78"/>
      <c r="H529" s="13"/>
      <c r="I529" s="13"/>
      <c r="J529" s="13"/>
      <c r="K529" s="13"/>
      <c r="L529" s="13"/>
      <c r="M529" s="8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>
      <c r="A530" s="13"/>
      <c r="B530" s="13"/>
      <c r="C530" s="13"/>
      <c r="D530" s="13"/>
      <c r="E530" s="13"/>
      <c r="F530" s="78"/>
      <c r="G530" s="78"/>
      <c r="H530" s="13"/>
      <c r="I530" s="13"/>
      <c r="J530" s="13"/>
      <c r="K530" s="13"/>
      <c r="L530" s="13"/>
      <c r="M530" s="8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>
      <c r="A531" s="13"/>
      <c r="B531" s="13"/>
      <c r="C531" s="13"/>
      <c r="D531" s="13"/>
      <c r="E531" s="13"/>
      <c r="F531" s="78"/>
      <c r="G531" s="78"/>
      <c r="H531" s="13"/>
      <c r="I531" s="13"/>
      <c r="J531" s="13"/>
      <c r="K531" s="13"/>
      <c r="L531" s="13"/>
      <c r="M531" s="8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>
      <c r="A532" s="13"/>
      <c r="B532" s="13"/>
      <c r="C532" s="13"/>
      <c r="D532" s="13"/>
      <c r="E532" s="13"/>
      <c r="F532" s="78"/>
      <c r="G532" s="78"/>
      <c r="H532" s="13"/>
      <c r="I532" s="13"/>
      <c r="J532" s="13"/>
      <c r="K532" s="13"/>
      <c r="L532" s="13"/>
      <c r="M532" s="8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>
      <c r="A533" s="13"/>
      <c r="B533" s="13"/>
      <c r="C533" s="13"/>
      <c r="D533" s="13"/>
      <c r="E533" s="13"/>
      <c r="F533" s="78"/>
      <c r="G533" s="78"/>
      <c r="H533" s="13"/>
      <c r="I533" s="13"/>
      <c r="J533" s="13"/>
      <c r="K533" s="13"/>
      <c r="L533" s="13"/>
      <c r="M533" s="8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>
      <c r="A534" s="13"/>
      <c r="B534" s="13"/>
      <c r="C534" s="13"/>
      <c r="D534" s="13"/>
      <c r="E534" s="13"/>
      <c r="F534" s="78"/>
      <c r="G534" s="78"/>
      <c r="H534" s="13"/>
      <c r="I534" s="13"/>
      <c r="J534" s="13"/>
      <c r="K534" s="13"/>
      <c r="L534" s="13"/>
      <c r="M534" s="8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>
      <c r="A535" s="13"/>
      <c r="B535" s="13"/>
      <c r="C535" s="13"/>
      <c r="D535" s="13"/>
      <c r="E535" s="13"/>
      <c r="F535" s="78"/>
      <c r="G535" s="78"/>
      <c r="H535" s="13"/>
      <c r="I535" s="13"/>
      <c r="J535" s="13"/>
      <c r="K535" s="13"/>
      <c r="L535" s="13"/>
      <c r="M535" s="8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>
      <c r="A536" s="13"/>
      <c r="B536" s="13"/>
      <c r="C536" s="13"/>
      <c r="D536" s="13"/>
      <c r="E536" s="13"/>
      <c r="F536" s="78"/>
      <c r="G536" s="78"/>
      <c r="H536" s="13"/>
      <c r="I536" s="13"/>
      <c r="J536" s="13"/>
      <c r="K536" s="13"/>
      <c r="L536" s="13"/>
      <c r="M536" s="8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>
      <c r="A537" s="13"/>
      <c r="B537" s="13"/>
      <c r="C537" s="13"/>
      <c r="D537" s="13"/>
      <c r="E537" s="13"/>
      <c r="F537" s="78"/>
      <c r="G537" s="78"/>
      <c r="H537" s="13"/>
      <c r="I537" s="13"/>
      <c r="J537" s="13"/>
      <c r="K537" s="13"/>
      <c r="L537" s="13"/>
      <c r="M537" s="8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>
      <c r="A538" s="13"/>
      <c r="B538" s="13"/>
      <c r="C538" s="13"/>
      <c r="D538" s="13"/>
      <c r="E538" s="13"/>
      <c r="F538" s="78"/>
      <c r="G538" s="78"/>
      <c r="H538" s="13"/>
      <c r="I538" s="13"/>
      <c r="J538" s="13"/>
      <c r="K538" s="13"/>
      <c r="L538" s="13"/>
      <c r="M538" s="8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>
      <c r="A539" s="13"/>
      <c r="B539" s="13"/>
      <c r="C539" s="13"/>
      <c r="D539" s="13"/>
      <c r="E539" s="13"/>
      <c r="F539" s="78"/>
      <c r="G539" s="78"/>
      <c r="H539" s="13"/>
      <c r="I539" s="13"/>
      <c r="J539" s="13"/>
      <c r="K539" s="13"/>
      <c r="L539" s="13"/>
      <c r="M539" s="8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>
      <c r="A540" s="13"/>
      <c r="B540" s="13"/>
      <c r="C540" s="13"/>
      <c r="D540" s="13"/>
      <c r="E540" s="13"/>
      <c r="F540" s="78"/>
      <c r="G540" s="78"/>
      <c r="H540" s="13"/>
      <c r="I540" s="13"/>
      <c r="J540" s="13"/>
      <c r="K540" s="13"/>
      <c r="L540" s="13"/>
      <c r="M540" s="8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>
      <c r="A541" s="13"/>
      <c r="B541" s="13"/>
      <c r="C541" s="13"/>
      <c r="D541" s="13"/>
      <c r="E541" s="13"/>
      <c r="F541" s="78"/>
      <c r="G541" s="78"/>
      <c r="H541" s="13"/>
      <c r="I541" s="13"/>
      <c r="J541" s="13"/>
      <c r="K541" s="13"/>
      <c r="L541" s="13"/>
      <c r="M541" s="8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>
      <c r="A542" s="13"/>
      <c r="B542" s="13"/>
      <c r="C542" s="13"/>
      <c r="D542" s="13"/>
      <c r="E542" s="13"/>
      <c r="F542" s="78"/>
      <c r="G542" s="78"/>
      <c r="H542" s="13"/>
      <c r="I542" s="13"/>
      <c r="J542" s="13"/>
      <c r="K542" s="13"/>
      <c r="L542" s="13"/>
      <c r="M542" s="8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>
      <c r="A543" s="13"/>
      <c r="B543" s="13"/>
      <c r="C543" s="13"/>
      <c r="D543" s="13"/>
      <c r="E543" s="13"/>
      <c r="F543" s="78"/>
      <c r="G543" s="78"/>
      <c r="H543" s="13"/>
      <c r="I543" s="13"/>
      <c r="J543" s="13"/>
      <c r="K543" s="13"/>
      <c r="L543" s="13"/>
      <c r="M543" s="8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>
      <c r="A544" s="13"/>
      <c r="B544" s="13"/>
      <c r="C544" s="13"/>
      <c r="D544" s="13"/>
      <c r="E544" s="13"/>
      <c r="F544" s="78"/>
      <c r="G544" s="78"/>
      <c r="H544" s="13"/>
      <c r="I544" s="13"/>
      <c r="J544" s="13"/>
      <c r="K544" s="13"/>
      <c r="L544" s="13"/>
      <c r="M544" s="8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>
      <c r="A545" s="13"/>
      <c r="B545" s="13"/>
      <c r="C545" s="13"/>
      <c r="D545" s="13"/>
      <c r="E545" s="13"/>
      <c r="F545" s="78"/>
      <c r="G545" s="78"/>
      <c r="H545" s="13"/>
      <c r="I545" s="13"/>
      <c r="J545" s="13"/>
      <c r="K545" s="13"/>
      <c r="L545" s="13"/>
      <c r="M545" s="8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>
      <c r="A546" s="13"/>
      <c r="B546" s="13"/>
      <c r="C546" s="13"/>
      <c r="D546" s="13"/>
      <c r="E546" s="13"/>
      <c r="F546" s="78"/>
      <c r="G546" s="78"/>
      <c r="H546" s="13"/>
      <c r="I546" s="13"/>
      <c r="J546" s="13"/>
      <c r="K546" s="13"/>
      <c r="L546" s="13"/>
      <c r="M546" s="8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>
      <c r="A547" s="13"/>
      <c r="B547" s="13"/>
      <c r="C547" s="13"/>
      <c r="D547" s="13"/>
      <c r="E547" s="13"/>
      <c r="F547" s="78"/>
      <c r="G547" s="78"/>
      <c r="H547" s="13"/>
      <c r="I547" s="13"/>
      <c r="J547" s="13"/>
      <c r="K547" s="13"/>
      <c r="L547" s="13"/>
      <c r="M547" s="8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>
      <c r="A548" s="13"/>
      <c r="B548" s="13"/>
      <c r="C548" s="13"/>
      <c r="D548" s="13"/>
      <c r="E548" s="13"/>
      <c r="F548" s="78"/>
      <c r="G548" s="78"/>
      <c r="H548" s="13"/>
      <c r="I548" s="13"/>
      <c r="J548" s="13"/>
      <c r="K548" s="13"/>
      <c r="L548" s="13"/>
      <c r="M548" s="8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>
      <c r="A549" s="13"/>
      <c r="B549" s="13"/>
      <c r="C549" s="13"/>
      <c r="D549" s="13"/>
      <c r="E549" s="13"/>
      <c r="F549" s="78"/>
      <c r="G549" s="78"/>
      <c r="H549" s="13"/>
      <c r="I549" s="13"/>
      <c r="J549" s="13"/>
      <c r="K549" s="13"/>
      <c r="L549" s="13"/>
      <c r="M549" s="8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>
      <c r="A550" s="13"/>
      <c r="B550" s="13"/>
      <c r="C550" s="13"/>
      <c r="D550" s="13"/>
      <c r="E550" s="13"/>
      <c r="F550" s="78"/>
      <c r="G550" s="78"/>
      <c r="H550" s="13"/>
      <c r="I550" s="13"/>
      <c r="J550" s="13"/>
      <c r="K550" s="13"/>
      <c r="L550" s="13"/>
      <c r="M550" s="8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>
      <c r="A551" s="13"/>
      <c r="B551" s="13"/>
      <c r="C551" s="13"/>
      <c r="D551" s="13"/>
      <c r="E551" s="13"/>
      <c r="F551" s="78"/>
      <c r="G551" s="78"/>
      <c r="H551" s="13"/>
      <c r="I551" s="13"/>
      <c r="J551" s="13"/>
      <c r="K551" s="13"/>
      <c r="L551" s="13"/>
      <c r="M551" s="8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>
      <c r="A552" s="13"/>
      <c r="B552" s="13"/>
      <c r="C552" s="13"/>
      <c r="D552" s="13"/>
      <c r="E552" s="13"/>
      <c r="F552" s="78"/>
      <c r="G552" s="78"/>
      <c r="H552" s="13"/>
      <c r="I552" s="13"/>
      <c r="J552" s="13"/>
      <c r="K552" s="13"/>
      <c r="L552" s="13"/>
      <c r="M552" s="8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>
      <c r="A553" s="13"/>
      <c r="B553" s="13"/>
      <c r="C553" s="13"/>
      <c r="D553" s="13"/>
      <c r="E553" s="13"/>
      <c r="F553" s="78"/>
      <c r="G553" s="78"/>
      <c r="H553" s="13"/>
      <c r="I553" s="13"/>
      <c r="J553" s="13"/>
      <c r="K553" s="13"/>
      <c r="L553" s="13"/>
      <c r="M553" s="8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>
      <c r="A554" s="13"/>
      <c r="B554" s="13"/>
      <c r="C554" s="13"/>
      <c r="D554" s="13"/>
      <c r="E554" s="13"/>
      <c r="F554" s="78"/>
      <c r="G554" s="78"/>
      <c r="H554" s="13"/>
      <c r="I554" s="13"/>
      <c r="J554" s="13"/>
      <c r="K554" s="13"/>
      <c r="L554" s="13"/>
      <c r="M554" s="8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>
      <c r="A555" s="13"/>
      <c r="B555" s="13"/>
      <c r="C555" s="13"/>
      <c r="D555" s="13"/>
      <c r="E555" s="13"/>
      <c r="F555" s="78"/>
      <c r="G555" s="78"/>
      <c r="H555" s="13"/>
      <c r="I555" s="13"/>
      <c r="J555" s="13"/>
      <c r="K555" s="13"/>
      <c r="L555" s="13"/>
      <c r="M555" s="8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>
      <c r="A556" s="13"/>
      <c r="B556" s="13"/>
      <c r="C556" s="13"/>
      <c r="D556" s="13"/>
      <c r="E556" s="13"/>
      <c r="F556" s="78"/>
      <c r="G556" s="78"/>
      <c r="H556" s="13"/>
      <c r="I556" s="13"/>
      <c r="J556" s="13"/>
      <c r="K556" s="13"/>
      <c r="L556" s="13"/>
      <c r="M556" s="8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>
      <c r="A557" s="13"/>
      <c r="B557" s="13"/>
      <c r="C557" s="13"/>
      <c r="D557" s="13"/>
      <c r="E557" s="13"/>
      <c r="F557" s="78"/>
      <c r="G557" s="78"/>
      <c r="H557" s="13"/>
      <c r="I557" s="13"/>
      <c r="J557" s="13"/>
      <c r="K557" s="13"/>
      <c r="L557" s="13"/>
      <c r="M557" s="8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>
      <c r="A558" s="13"/>
      <c r="B558" s="13"/>
      <c r="C558" s="13"/>
      <c r="D558" s="13"/>
      <c r="E558" s="13"/>
      <c r="F558" s="78"/>
      <c r="G558" s="78"/>
      <c r="H558" s="13"/>
      <c r="I558" s="13"/>
      <c r="J558" s="13"/>
      <c r="K558" s="13"/>
      <c r="L558" s="13"/>
      <c r="M558" s="8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>
      <c r="A559" s="13"/>
      <c r="B559" s="13"/>
      <c r="C559" s="13"/>
      <c r="D559" s="13"/>
      <c r="E559" s="13"/>
      <c r="F559" s="78"/>
      <c r="G559" s="78"/>
      <c r="H559" s="13"/>
      <c r="I559" s="13"/>
      <c r="J559" s="13"/>
      <c r="K559" s="13"/>
      <c r="L559" s="13"/>
      <c r="M559" s="8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>
      <c r="A560" s="13"/>
      <c r="B560" s="13"/>
      <c r="C560" s="13"/>
      <c r="D560" s="13"/>
      <c r="E560" s="13"/>
      <c r="F560" s="78"/>
      <c r="G560" s="78"/>
      <c r="H560" s="13"/>
      <c r="I560" s="13"/>
      <c r="J560" s="13"/>
      <c r="K560" s="13"/>
      <c r="L560" s="13"/>
      <c r="M560" s="8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>
      <c r="A561" s="13"/>
      <c r="B561" s="13"/>
      <c r="C561" s="13"/>
      <c r="D561" s="13"/>
      <c r="E561" s="13"/>
      <c r="F561" s="78"/>
      <c r="G561" s="78"/>
      <c r="H561" s="13"/>
      <c r="I561" s="13"/>
      <c r="J561" s="13"/>
      <c r="K561" s="13"/>
      <c r="L561" s="13"/>
      <c r="M561" s="8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>
      <c r="A562" s="13"/>
      <c r="B562" s="13"/>
      <c r="C562" s="13"/>
      <c r="D562" s="13"/>
      <c r="E562" s="13"/>
      <c r="F562" s="78"/>
      <c r="G562" s="78"/>
      <c r="H562" s="13"/>
      <c r="I562" s="13"/>
      <c r="J562" s="13"/>
      <c r="K562" s="13"/>
      <c r="L562" s="13"/>
      <c r="M562" s="8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>
      <c r="A563" s="13"/>
      <c r="B563" s="13"/>
      <c r="C563" s="13"/>
      <c r="D563" s="13"/>
      <c r="E563" s="13"/>
      <c r="F563" s="78"/>
      <c r="G563" s="78"/>
      <c r="H563" s="13"/>
      <c r="I563" s="13"/>
      <c r="J563" s="13"/>
      <c r="K563" s="13"/>
      <c r="L563" s="13"/>
      <c r="M563" s="8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>
      <c r="A564" s="13"/>
      <c r="B564" s="13"/>
      <c r="C564" s="13"/>
      <c r="D564" s="13"/>
      <c r="E564" s="13"/>
      <c r="F564" s="78"/>
      <c r="G564" s="78"/>
      <c r="H564" s="13"/>
      <c r="I564" s="13"/>
      <c r="J564" s="13"/>
      <c r="K564" s="13"/>
      <c r="L564" s="13"/>
      <c r="M564" s="8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>
      <c r="A565" s="13"/>
      <c r="B565" s="13"/>
      <c r="C565" s="13"/>
      <c r="D565" s="13"/>
      <c r="E565" s="13"/>
      <c r="F565" s="78"/>
      <c r="G565" s="78"/>
      <c r="H565" s="13"/>
      <c r="I565" s="13"/>
      <c r="J565" s="13"/>
      <c r="K565" s="13"/>
      <c r="L565" s="13"/>
      <c r="M565" s="8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>
      <c r="A566" s="13"/>
      <c r="B566" s="13"/>
      <c r="C566" s="13"/>
      <c r="D566" s="13"/>
      <c r="E566" s="13"/>
      <c r="F566" s="78"/>
      <c r="G566" s="78"/>
      <c r="H566" s="13"/>
      <c r="I566" s="13"/>
      <c r="J566" s="13"/>
      <c r="K566" s="13"/>
      <c r="L566" s="13"/>
      <c r="M566" s="8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>
      <c r="A567" s="13"/>
      <c r="B567" s="13"/>
      <c r="C567" s="13"/>
      <c r="D567" s="13"/>
      <c r="E567" s="13"/>
      <c r="F567" s="78"/>
      <c r="G567" s="78"/>
      <c r="H567" s="13"/>
      <c r="I567" s="13"/>
      <c r="J567" s="13"/>
      <c r="K567" s="13"/>
      <c r="L567" s="13"/>
      <c r="M567" s="8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>
      <c r="A568" s="13"/>
      <c r="B568" s="13"/>
      <c r="C568" s="13"/>
      <c r="D568" s="13"/>
      <c r="E568" s="13"/>
      <c r="F568" s="78"/>
      <c r="G568" s="78"/>
      <c r="H568" s="13"/>
      <c r="I568" s="13"/>
      <c r="J568" s="13"/>
      <c r="K568" s="13"/>
      <c r="L568" s="13"/>
      <c r="M568" s="8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>
      <c r="A569" s="13"/>
      <c r="B569" s="13"/>
      <c r="C569" s="13"/>
      <c r="D569" s="13"/>
      <c r="E569" s="13"/>
      <c r="F569" s="78"/>
      <c r="G569" s="78"/>
      <c r="H569" s="13"/>
      <c r="I569" s="13"/>
      <c r="J569" s="13"/>
      <c r="K569" s="13"/>
      <c r="L569" s="13"/>
      <c r="M569" s="8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>
      <c r="A570" s="13"/>
      <c r="B570" s="13"/>
      <c r="C570" s="13"/>
      <c r="D570" s="13"/>
      <c r="E570" s="13"/>
      <c r="F570" s="78"/>
      <c r="G570" s="78"/>
      <c r="H570" s="13"/>
      <c r="I570" s="13"/>
      <c r="J570" s="13"/>
      <c r="K570" s="13"/>
      <c r="L570" s="13"/>
      <c r="M570" s="8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>
      <c r="A571" s="13"/>
      <c r="B571" s="13"/>
      <c r="C571" s="13"/>
      <c r="D571" s="13"/>
      <c r="E571" s="13"/>
      <c r="F571" s="78"/>
      <c r="G571" s="78"/>
      <c r="H571" s="13"/>
      <c r="I571" s="13"/>
      <c r="J571" s="13"/>
      <c r="K571" s="13"/>
      <c r="L571" s="13"/>
      <c r="M571" s="8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>
      <c r="A572" s="13"/>
      <c r="B572" s="13"/>
      <c r="C572" s="13"/>
      <c r="D572" s="13"/>
      <c r="E572" s="13"/>
      <c r="F572" s="78"/>
      <c r="G572" s="78"/>
      <c r="H572" s="13"/>
      <c r="I572" s="13"/>
      <c r="J572" s="13"/>
      <c r="K572" s="13"/>
      <c r="L572" s="13"/>
      <c r="M572" s="8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>
      <c r="A573" s="13"/>
      <c r="B573" s="13"/>
      <c r="C573" s="13"/>
      <c r="D573" s="13"/>
      <c r="E573" s="13"/>
      <c r="F573" s="78"/>
      <c r="G573" s="78"/>
      <c r="H573" s="13"/>
      <c r="I573" s="13"/>
      <c r="J573" s="13"/>
      <c r="K573" s="13"/>
      <c r="L573" s="13"/>
      <c r="M573" s="8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>
      <c r="A574" s="13"/>
      <c r="B574" s="13"/>
      <c r="C574" s="13"/>
      <c r="D574" s="13"/>
      <c r="E574" s="13"/>
      <c r="F574" s="78"/>
      <c r="G574" s="78"/>
      <c r="H574" s="13"/>
      <c r="I574" s="13"/>
      <c r="J574" s="13"/>
      <c r="K574" s="13"/>
      <c r="L574" s="13"/>
      <c r="M574" s="8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>
      <c r="A575" s="13"/>
      <c r="B575" s="13"/>
      <c r="C575" s="13"/>
      <c r="D575" s="13"/>
      <c r="E575" s="13"/>
      <c r="F575" s="78"/>
      <c r="G575" s="78"/>
      <c r="H575" s="13"/>
      <c r="I575" s="13"/>
      <c r="J575" s="13"/>
      <c r="K575" s="13"/>
      <c r="L575" s="13"/>
      <c r="M575" s="8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>
      <c r="A576" s="13"/>
      <c r="B576" s="13"/>
      <c r="C576" s="13"/>
      <c r="D576" s="13"/>
      <c r="E576" s="13"/>
      <c r="F576" s="78"/>
      <c r="G576" s="78"/>
      <c r="H576" s="13"/>
      <c r="I576" s="13"/>
      <c r="J576" s="13"/>
      <c r="K576" s="13"/>
      <c r="L576" s="13"/>
      <c r="M576" s="8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>
      <c r="A577" s="13"/>
      <c r="B577" s="13"/>
      <c r="C577" s="13"/>
      <c r="D577" s="13"/>
      <c r="E577" s="13"/>
      <c r="F577" s="78"/>
      <c r="G577" s="78"/>
      <c r="H577" s="13"/>
      <c r="I577" s="13"/>
      <c r="J577" s="13"/>
      <c r="K577" s="13"/>
      <c r="L577" s="13"/>
      <c r="M577" s="8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>
      <c r="A578" s="13"/>
      <c r="B578" s="13"/>
      <c r="C578" s="13"/>
      <c r="D578" s="13"/>
      <c r="E578" s="13"/>
      <c r="F578" s="78"/>
      <c r="G578" s="78"/>
      <c r="H578" s="13"/>
      <c r="I578" s="13"/>
      <c r="J578" s="13"/>
      <c r="K578" s="13"/>
      <c r="L578" s="13"/>
      <c r="M578" s="8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>
      <c r="A579" s="13"/>
      <c r="B579" s="13"/>
      <c r="C579" s="13"/>
      <c r="D579" s="13"/>
      <c r="E579" s="13"/>
      <c r="F579" s="78"/>
      <c r="G579" s="78"/>
      <c r="H579" s="13"/>
      <c r="I579" s="13"/>
      <c r="J579" s="13"/>
      <c r="K579" s="13"/>
      <c r="L579" s="13"/>
      <c r="M579" s="8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>
      <c r="A580" s="13"/>
      <c r="B580" s="13"/>
      <c r="C580" s="13"/>
      <c r="D580" s="13"/>
      <c r="E580" s="13"/>
      <c r="F580" s="78"/>
      <c r="G580" s="78"/>
      <c r="H580" s="13"/>
      <c r="I580" s="13"/>
      <c r="J580" s="13"/>
      <c r="K580" s="13"/>
      <c r="L580" s="13"/>
      <c r="M580" s="8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>
      <c r="A581" s="13"/>
      <c r="B581" s="13"/>
      <c r="C581" s="13"/>
      <c r="D581" s="13"/>
      <c r="E581" s="13"/>
      <c r="F581" s="78"/>
      <c r="G581" s="78"/>
      <c r="H581" s="13"/>
      <c r="I581" s="13"/>
      <c r="J581" s="13"/>
      <c r="K581" s="13"/>
      <c r="L581" s="13"/>
      <c r="M581" s="8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>
      <c r="A582" s="13"/>
      <c r="B582" s="13"/>
      <c r="C582" s="13"/>
      <c r="D582" s="13"/>
      <c r="E582" s="13"/>
      <c r="F582" s="78"/>
      <c r="G582" s="78"/>
      <c r="H582" s="13"/>
      <c r="I582" s="13"/>
      <c r="J582" s="13"/>
      <c r="K582" s="13"/>
      <c r="L582" s="13"/>
      <c r="M582" s="8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>
      <c r="A583" s="13"/>
      <c r="B583" s="13"/>
      <c r="C583" s="13"/>
      <c r="D583" s="13"/>
      <c r="E583" s="13"/>
      <c r="F583" s="78"/>
      <c r="G583" s="78"/>
      <c r="H583" s="13"/>
      <c r="I583" s="13"/>
      <c r="J583" s="13"/>
      <c r="K583" s="13"/>
      <c r="L583" s="13"/>
      <c r="M583" s="8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>
      <c r="A584" s="13"/>
      <c r="B584" s="13"/>
      <c r="C584" s="13"/>
      <c r="D584" s="13"/>
      <c r="E584" s="13"/>
      <c r="F584" s="78"/>
      <c r="G584" s="78"/>
      <c r="H584" s="13"/>
      <c r="I584" s="13"/>
      <c r="J584" s="13"/>
      <c r="K584" s="13"/>
      <c r="L584" s="13"/>
      <c r="M584" s="8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>
      <c r="A585" s="13"/>
      <c r="B585" s="13"/>
      <c r="C585" s="13"/>
      <c r="D585" s="13"/>
      <c r="E585" s="13"/>
      <c r="F585" s="78"/>
      <c r="G585" s="78"/>
      <c r="H585" s="13"/>
      <c r="I585" s="13"/>
      <c r="J585" s="13"/>
      <c r="K585" s="13"/>
      <c r="L585" s="13"/>
      <c r="M585" s="8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>
      <c r="A586" s="13"/>
      <c r="B586" s="13"/>
      <c r="C586" s="13"/>
      <c r="D586" s="13"/>
      <c r="E586" s="13"/>
      <c r="F586" s="78"/>
      <c r="G586" s="78"/>
      <c r="H586" s="13"/>
      <c r="I586" s="13"/>
      <c r="J586" s="13"/>
      <c r="K586" s="13"/>
      <c r="L586" s="13"/>
      <c r="M586" s="8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>
      <c r="A587" s="13"/>
      <c r="B587" s="13"/>
      <c r="C587" s="13"/>
      <c r="D587" s="13"/>
      <c r="E587" s="13"/>
      <c r="F587" s="78"/>
      <c r="G587" s="78"/>
      <c r="H587" s="13"/>
      <c r="I587" s="13"/>
      <c r="J587" s="13"/>
      <c r="K587" s="13"/>
      <c r="L587" s="13"/>
      <c r="M587" s="8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>
      <c r="A588" s="13"/>
      <c r="B588" s="13"/>
      <c r="C588" s="13"/>
      <c r="D588" s="13"/>
      <c r="E588" s="13"/>
      <c r="F588" s="78"/>
      <c r="G588" s="78"/>
      <c r="H588" s="13"/>
      <c r="I588" s="13"/>
      <c r="J588" s="13"/>
      <c r="K588" s="13"/>
      <c r="L588" s="13"/>
      <c r="M588" s="8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>
      <c r="A589" s="13"/>
      <c r="B589" s="13"/>
      <c r="C589" s="13"/>
      <c r="D589" s="13"/>
      <c r="E589" s="13"/>
      <c r="F589" s="78"/>
      <c r="G589" s="78"/>
      <c r="H589" s="13"/>
      <c r="I589" s="13"/>
      <c r="J589" s="13"/>
      <c r="K589" s="13"/>
      <c r="L589" s="13"/>
      <c r="M589" s="8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>
      <c r="A590" s="13"/>
      <c r="B590" s="13"/>
      <c r="C590" s="13"/>
      <c r="D590" s="13"/>
      <c r="E590" s="13"/>
      <c r="F590" s="78"/>
      <c r="G590" s="78"/>
      <c r="H590" s="13"/>
      <c r="I590" s="13"/>
      <c r="J590" s="13"/>
      <c r="K590" s="13"/>
      <c r="L590" s="13"/>
      <c r="M590" s="8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>
      <c r="A591" s="13"/>
      <c r="B591" s="13"/>
      <c r="C591" s="13"/>
      <c r="D591" s="13"/>
      <c r="E591" s="13"/>
      <c r="F591" s="78"/>
      <c r="G591" s="78"/>
      <c r="H591" s="13"/>
      <c r="I591" s="13"/>
      <c r="J591" s="13"/>
      <c r="K591" s="13"/>
      <c r="L591" s="13"/>
      <c r="M591" s="8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>
      <c r="A592" s="13"/>
      <c r="B592" s="13"/>
      <c r="C592" s="13"/>
      <c r="D592" s="13"/>
      <c r="E592" s="13"/>
      <c r="F592" s="78"/>
      <c r="G592" s="78"/>
      <c r="H592" s="13"/>
      <c r="I592" s="13"/>
      <c r="J592" s="13"/>
      <c r="K592" s="13"/>
      <c r="L592" s="13"/>
      <c r="M592" s="8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>
      <c r="A593" s="13"/>
      <c r="B593" s="13"/>
      <c r="C593" s="13"/>
      <c r="D593" s="13"/>
      <c r="E593" s="13"/>
      <c r="F593" s="78"/>
      <c r="G593" s="78"/>
      <c r="H593" s="13"/>
      <c r="I593" s="13"/>
      <c r="J593" s="13"/>
      <c r="K593" s="13"/>
      <c r="L593" s="13"/>
      <c r="M593" s="8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>
      <c r="A594" s="13"/>
      <c r="B594" s="13"/>
      <c r="C594" s="13"/>
      <c r="D594" s="13"/>
      <c r="E594" s="13"/>
      <c r="F594" s="78"/>
      <c r="G594" s="78"/>
      <c r="H594" s="13"/>
      <c r="I594" s="13"/>
      <c r="J594" s="13"/>
      <c r="K594" s="13"/>
      <c r="L594" s="13"/>
      <c r="M594" s="8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>
      <c r="A595" s="13"/>
      <c r="B595" s="13"/>
      <c r="C595" s="13"/>
      <c r="D595" s="13"/>
      <c r="E595" s="13"/>
      <c r="F595" s="78"/>
      <c r="G595" s="78"/>
      <c r="H595" s="13"/>
      <c r="I595" s="13"/>
      <c r="J595" s="13"/>
      <c r="K595" s="13"/>
      <c r="L595" s="13"/>
      <c r="M595" s="8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>
      <c r="A596" s="13"/>
      <c r="B596" s="13"/>
      <c r="C596" s="13"/>
      <c r="D596" s="13"/>
      <c r="E596" s="13"/>
      <c r="F596" s="78"/>
      <c r="G596" s="78"/>
      <c r="H596" s="13"/>
      <c r="I596" s="13"/>
      <c r="J596" s="13"/>
      <c r="K596" s="13"/>
      <c r="L596" s="13"/>
      <c r="M596" s="8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>
      <c r="A597" s="13"/>
      <c r="B597" s="13"/>
      <c r="C597" s="13"/>
      <c r="D597" s="13"/>
      <c r="E597" s="13"/>
      <c r="F597" s="78"/>
      <c r="G597" s="78"/>
      <c r="H597" s="13"/>
      <c r="I597" s="13"/>
      <c r="J597" s="13"/>
      <c r="K597" s="13"/>
      <c r="L597" s="13"/>
      <c r="M597" s="8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>
      <c r="A598" s="13"/>
      <c r="B598" s="13"/>
      <c r="C598" s="13"/>
      <c r="D598" s="13"/>
      <c r="E598" s="13"/>
      <c r="F598" s="78"/>
      <c r="G598" s="78"/>
      <c r="H598" s="13"/>
      <c r="I598" s="13"/>
      <c r="J598" s="13"/>
      <c r="K598" s="13"/>
      <c r="L598" s="13"/>
      <c r="M598" s="8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>
      <c r="A599" s="13"/>
      <c r="B599" s="13"/>
      <c r="C599" s="13"/>
      <c r="D599" s="13"/>
      <c r="E599" s="13"/>
      <c r="F599" s="78"/>
      <c r="G599" s="78"/>
      <c r="H599" s="13"/>
      <c r="I599" s="13"/>
      <c r="J599" s="13"/>
      <c r="K599" s="13"/>
      <c r="L599" s="13"/>
      <c r="M599" s="8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>
      <c r="A600" s="13"/>
      <c r="B600" s="13"/>
      <c r="C600" s="13"/>
      <c r="D600" s="13"/>
      <c r="E600" s="13"/>
      <c r="F600" s="78"/>
      <c r="G600" s="78"/>
      <c r="H600" s="13"/>
      <c r="I600" s="13"/>
      <c r="J600" s="13"/>
      <c r="K600" s="13"/>
      <c r="L600" s="13"/>
      <c r="M600" s="8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>
      <c r="A601" s="13"/>
      <c r="B601" s="13"/>
      <c r="C601" s="13"/>
      <c r="D601" s="13"/>
      <c r="E601" s="13"/>
      <c r="F601" s="78"/>
      <c r="G601" s="78"/>
      <c r="H601" s="13"/>
      <c r="I601" s="13"/>
      <c r="J601" s="13"/>
      <c r="K601" s="13"/>
      <c r="L601" s="13"/>
      <c r="M601" s="8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>
      <c r="A602" s="13"/>
      <c r="B602" s="13"/>
      <c r="C602" s="13"/>
      <c r="D602" s="13"/>
      <c r="E602" s="13"/>
      <c r="F602" s="78"/>
      <c r="G602" s="78"/>
      <c r="H602" s="13"/>
      <c r="I602" s="13"/>
      <c r="J602" s="13"/>
      <c r="K602" s="13"/>
      <c r="L602" s="13"/>
      <c r="M602" s="8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>
      <c r="A603" s="13"/>
      <c r="B603" s="13"/>
      <c r="C603" s="13"/>
      <c r="D603" s="13"/>
      <c r="E603" s="13"/>
      <c r="F603" s="78"/>
      <c r="G603" s="78"/>
      <c r="H603" s="13"/>
      <c r="I603" s="13"/>
      <c r="J603" s="13"/>
      <c r="K603" s="13"/>
      <c r="L603" s="13"/>
      <c r="M603" s="8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>
      <c r="A604" s="13"/>
      <c r="B604" s="13"/>
      <c r="C604" s="13"/>
      <c r="D604" s="13"/>
      <c r="E604" s="13"/>
      <c r="F604" s="78"/>
      <c r="G604" s="78"/>
      <c r="H604" s="13"/>
      <c r="I604" s="13"/>
      <c r="J604" s="13"/>
      <c r="K604" s="13"/>
      <c r="L604" s="13"/>
      <c r="M604" s="8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>
      <c r="A605" s="13"/>
      <c r="B605" s="13"/>
      <c r="C605" s="13"/>
      <c r="D605" s="13"/>
      <c r="E605" s="13"/>
      <c r="F605" s="78"/>
      <c r="G605" s="78"/>
      <c r="H605" s="13"/>
      <c r="I605" s="13"/>
      <c r="J605" s="13"/>
      <c r="K605" s="13"/>
      <c r="L605" s="13"/>
      <c r="M605" s="8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>
      <c r="A606" s="13"/>
      <c r="B606" s="13"/>
      <c r="C606" s="13"/>
      <c r="D606" s="13"/>
      <c r="E606" s="13"/>
      <c r="F606" s="78"/>
      <c r="G606" s="78"/>
      <c r="H606" s="13"/>
      <c r="I606" s="13"/>
      <c r="J606" s="13"/>
      <c r="K606" s="13"/>
      <c r="L606" s="13"/>
      <c r="M606" s="8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>
      <c r="A607" s="13"/>
      <c r="B607" s="13"/>
      <c r="C607" s="13"/>
      <c r="D607" s="13"/>
      <c r="E607" s="13"/>
      <c r="F607" s="78"/>
      <c r="G607" s="78"/>
      <c r="H607" s="13"/>
      <c r="I607" s="13"/>
      <c r="J607" s="13"/>
      <c r="K607" s="13"/>
      <c r="L607" s="13"/>
      <c r="M607" s="8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>
      <c r="A608" s="13"/>
      <c r="B608" s="13"/>
      <c r="C608" s="13"/>
      <c r="D608" s="13"/>
      <c r="E608" s="13"/>
      <c r="F608" s="78"/>
      <c r="G608" s="78"/>
      <c r="H608" s="13"/>
      <c r="I608" s="13"/>
      <c r="J608" s="13"/>
      <c r="K608" s="13"/>
      <c r="L608" s="13"/>
      <c r="M608" s="8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>
      <c r="A609" s="13"/>
      <c r="B609" s="13"/>
      <c r="C609" s="13"/>
      <c r="D609" s="13"/>
      <c r="E609" s="13"/>
      <c r="F609" s="78"/>
      <c r="G609" s="78"/>
      <c r="H609" s="13"/>
      <c r="I609" s="13"/>
      <c r="J609" s="13"/>
      <c r="K609" s="13"/>
      <c r="L609" s="13"/>
      <c r="M609" s="8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>
      <c r="A610" s="13"/>
      <c r="B610" s="13"/>
      <c r="C610" s="13"/>
      <c r="D610" s="13"/>
      <c r="E610" s="13"/>
      <c r="F610" s="78"/>
      <c r="G610" s="78"/>
      <c r="H610" s="13"/>
      <c r="I610" s="13"/>
      <c r="J610" s="13"/>
      <c r="K610" s="13"/>
      <c r="L610" s="13"/>
      <c r="M610" s="8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>
      <c r="A611" s="13"/>
      <c r="B611" s="13"/>
      <c r="C611" s="13"/>
      <c r="D611" s="13"/>
      <c r="E611" s="13"/>
      <c r="F611" s="78"/>
      <c r="G611" s="78"/>
      <c r="H611" s="13"/>
      <c r="I611" s="13"/>
      <c r="J611" s="13"/>
      <c r="K611" s="13"/>
      <c r="L611" s="13"/>
      <c r="M611" s="8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>
      <c r="A612" s="13"/>
      <c r="B612" s="13"/>
      <c r="C612" s="13"/>
      <c r="D612" s="13"/>
      <c r="E612" s="13"/>
      <c r="F612" s="78"/>
      <c r="G612" s="78"/>
      <c r="H612" s="13"/>
      <c r="I612" s="13"/>
      <c r="J612" s="13"/>
      <c r="K612" s="13"/>
      <c r="L612" s="13"/>
      <c r="M612" s="8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>
      <c r="A613" s="13"/>
      <c r="B613" s="13"/>
      <c r="C613" s="13"/>
      <c r="D613" s="13"/>
      <c r="E613" s="13"/>
      <c r="F613" s="78"/>
      <c r="G613" s="78"/>
      <c r="H613" s="13"/>
      <c r="I613" s="13"/>
      <c r="J613" s="13"/>
      <c r="K613" s="13"/>
      <c r="L613" s="13"/>
      <c r="M613" s="8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>
      <c r="A614" s="13"/>
      <c r="B614" s="13"/>
      <c r="C614" s="13"/>
      <c r="D614" s="13"/>
      <c r="E614" s="13"/>
      <c r="F614" s="78"/>
      <c r="G614" s="78"/>
      <c r="H614" s="13"/>
      <c r="I614" s="13"/>
      <c r="J614" s="13"/>
      <c r="K614" s="13"/>
      <c r="L614" s="13"/>
      <c r="M614" s="8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>
      <c r="A615" s="13"/>
      <c r="B615" s="13"/>
      <c r="C615" s="13"/>
      <c r="D615" s="13"/>
      <c r="E615" s="13"/>
      <c r="F615" s="78"/>
      <c r="G615" s="78"/>
      <c r="H615" s="13"/>
      <c r="I615" s="13"/>
      <c r="J615" s="13"/>
      <c r="K615" s="13"/>
      <c r="L615" s="13"/>
      <c r="M615" s="8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>
      <c r="A616" s="13"/>
      <c r="B616" s="13"/>
      <c r="C616" s="13"/>
      <c r="D616" s="13"/>
      <c r="E616" s="13"/>
      <c r="F616" s="78"/>
      <c r="G616" s="78"/>
      <c r="H616" s="13"/>
      <c r="I616" s="13"/>
      <c r="J616" s="13"/>
      <c r="K616" s="13"/>
      <c r="L616" s="13"/>
      <c r="M616" s="8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>
      <c r="A617" s="13"/>
      <c r="B617" s="13"/>
      <c r="C617" s="13"/>
      <c r="D617" s="13"/>
      <c r="E617" s="13"/>
      <c r="F617" s="78"/>
      <c r="G617" s="78"/>
      <c r="H617" s="13"/>
      <c r="I617" s="13"/>
      <c r="J617" s="13"/>
      <c r="K617" s="13"/>
      <c r="L617" s="13"/>
      <c r="M617" s="8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>
      <c r="A618" s="13"/>
      <c r="B618" s="13"/>
      <c r="C618" s="13"/>
      <c r="D618" s="13"/>
      <c r="E618" s="13"/>
      <c r="F618" s="78"/>
      <c r="G618" s="78"/>
      <c r="H618" s="13"/>
      <c r="I618" s="13"/>
      <c r="J618" s="13"/>
      <c r="K618" s="13"/>
      <c r="L618" s="13"/>
      <c r="M618" s="8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>
      <c r="A619" s="13"/>
      <c r="B619" s="13"/>
      <c r="C619" s="13"/>
      <c r="D619" s="13"/>
      <c r="E619" s="13"/>
      <c r="F619" s="78"/>
      <c r="G619" s="78"/>
      <c r="H619" s="13"/>
      <c r="I619" s="13"/>
      <c r="J619" s="13"/>
      <c r="K619" s="13"/>
      <c r="L619" s="13"/>
      <c r="M619" s="8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>
      <c r="A620" s="13"/>
      <c r="B620" s="13"/>
      <c r="C620" s="13"/>
      <c r="D620" s="13"/>
      <c r="E620" s="13"/>
      <c r="F620" s="78"/>
      <c r="G620" s="78"/>
      <c r="H620" s="13"/>
      <c r="I620" s="13"/>
      <c r="J620" s="13"/>
      <c r="K620" s="13"/>
      <c r="L620" s="13"/>
      <c r="M620" s="8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>
      <c r="A621" s="13"/>
      <c r="B621" s="13"/>
      <c r="C621" s="13"/>
      <c r="D621" s="13"/>
      <c r="E621" s="13"/>
      <c r="F621" s="78"/>
      <c r="G621" s="78"/>
      <c r="H621" s="13"/>
      <c r="I621" s="13"/>
      <c r="J621" s="13"/>
      <c r="K621" s="13"/>
      <c r="L621" s="13"/>
      <c r="M621" s="8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>
      <c r="A622" s="13"/>
      <c r="B622" s="13"/>
      <c r="C622" s="13"/>
      <c r="D622" s="13"/>
      <c r="E622" s="13"/>
      <c r="F622" s="78"/>
      <c r="G622" s="78"/>
      <c r="H622" s="13"/>
      <c r="I622" s="13"/>
      <c r="J622" s="13"/>
      <c r="K622" s="13"/>
      <c r="L622" s="13"/>
      <c r="M622" s="8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>
      <c r="A623" s="13"/>
      <c r="B623" s="13"/>
      <c r="C623" s="13"/>
      <c r="D623" s="13"/>
      <c r="E623" s="13"/>
      <c r="F623" s="78"/>
      <c r="G623" s="78"/>
      <c r="H623" s="13"/>
      <c r="I623" s="13"/>
      <c r="J623" s="13"/>
      <c r="K623" s="13"/>
      <c r="L623" s="13"/>
      <c r="M623" s="8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>
      <c r="A624" s="13"/>
      <c r="B624" s="13"/>
      <c r="C624" s="13"/>
      <c r="D624" s="13"/>
      <c r="E624" s="13"/>
      <c r="F624" s="78"/>
      <c r="G624" s="78"/>
      <c r="H624" s="13"/>
      <c r="I624" s="13"/>
      <c r="J624" s="13"/>
      <c r="K624" s="13"/>
      <c r="L624" s="13"/>
      <c r="M624" s="8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>
      <c r="A625" s="13"/>
      <c r="B625" s="13"/>
      <c r="C625" s="13"/>
      <c r="D625" s="13"/>
      <c r="E625" s="13"/>
      <c r="F625" s="78"/>
      <c r="G625" s="78"/>
      <c r="H625" s="13"/>
      <c r="I625" s="13"/>
      <c r="J625" s="13"/>
      <c r="K625" s="13"/>
      <c r="L625" s="13"/>
      <c r="M625" s="8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>
      <c r="A626" s="13"/>
      <c r="B626" s="13"/>
      <c r="C626" s="13"/>
      <c r="D626" s="13"/>
      <c r="E626" s="13"/>
      <c r="F626" s="78"/>
      <c r="G626" s="78"/>
      <c r="H626" s="13"/>
      <c r="I626" s="13"/>
      <c r="J626" s="13"/>
      <c r="K626" s="13"/>
      <c r="L626" s="13"/>
      <c r="M626" s="8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>
      <c r="A627" s="13"/>
      <c r="B627" s="13"/>
      <c r="C627" s="13"/>
      <c r="D627" s="13"/>
      <c r="E627" s="13"/>
      <c r="F627" s="78"/>
      <c r="G627" s="78"/>
      <c r="H627" s="13"/>
      <c r="I627" s="13"/>
      <c r="J627" s="13"/>
      <c r="K627" s="13"/>
      <c r="L627" s="13"/>
      <c r="M627" s="8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>
      <c r="A628" s="13"/>
      <c r="B628" s="13"/>
      <c r="C628" s="13"/>
      <c r="D628" s="13"/>
      <c r="E628" s="13"/>
      <c r="F628" s="78"/>
      <c r="G628" s="78"/>
      <c r="H628" s="13"/>
      <c r="I628" s="13"/>
      <c r="J628" s="13"/>
      <c r="K628" s="13"/>
      <c r="L628" s="13"/>
      <c r="M628" s="8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>
      <c r="A629" s="13"/>
      <c r="B629" s="13"/>
      <c r="C629" s="13"/>
      <c r="D629" s="13"/>
      <c r="E629" s="13"/>
      <c r="F629" s="78"/>
      <c r="G629" s="78"/>
      <c r="H629" s="13"/>
      <c r="I629" s="13"/>
      <c r="J629" s="13"/>
      <c r="K629" s="13"/>
      <c r="L629" s="13"/>
      <c r="M629" s="8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>
      <c r="A630" s="13"/>
      <c r="B630" s="13"/>
      <c r="C630" s="13"/>
      <c r="D630" s="13"/>
      <c r="E630" s="13"/>
      <c r="F630" s="78"/>
      <c r="G630" s="78"/>
      <c r="H630" s="13"/>
      <c r="I630" s="13"/>
      <c r="J630" s="13"/>
      <c r="K630" s="13"/>
      <c r="L630" s="13"/>
      <c r="M630" s="8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>
      <c r="A631" s="13"/>
      <c r="B631" s="13"/>
      <c r="C631" s="13"/>
      <c r="D631" s="13"/>
      <c r="E631" s="13"/>
      <c r="F631" s="78"/>
      <c r="G631" s="78"/>
      <c r="H631" s="13"/>
      <c r="I631" s="13"/>
      <c r="J631" s="13"/>
      <c r="K631" s="13"/>
      <c r="L631" s="13"/>
      <c r="M631" s="8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>
      <c r="A632" s="13"/>
      <c r="B632" s="13"/>
      <c r="C632" s="13"/>
      <c r="D632" s="13"/>
      <c r="E632" s="13"/>
      <c r="F632" s="78"/>
      <c r="G632" s="78"/>
      <c r="H632" s="13"/>
      <c r="I632" s="13"/>
      <c r="J632" s="13"/>
      <c r="K632" s="13"/>
      <c r="L632" s="13"/>
      <c r="M632" s="8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>
      <c r="A633" s="13"/>
      <c r="B633" s="13"/>
      <c r="C633" s="13"/>
      <c r="D633" s="13"/>
      <c r="E633" s="13"/>
      <c r="F633" s="78"/>
      <c r="G633" s="78"/>
      <c r="H633" s="13"/>
      <c r="I633" s="13"/>
      <c r="J633" s="13"/>
      <c r="K633" s="13"/>
      <c r="L633" s="13"/>
      <c r="M633" s="8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>
      <c r="A634" s="13"/>
      <c r="B634" s="13"/>
      <c r="C634" s="13"/>
      <c r="D634" s="13"/>
      <c r="E634" s="13"/>
      <c r="F634" s="78"/>
      <c r="G634" s="78"/>
      <c r="H634" s="13"/>
      <c r="I634" s="13"/>
      <c r="J634" s="13"/>
      <c r="K634" s="13"/>
      <c r="L634" s="13"/>
      <c r="M634" s="8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>
      <c r="A635" s="13"/>
      <c r="B635" s="13"/>
      <c r="C635" s="13"/>
      <c r="D635" s="13"/>
      <c r="E635" s="13"/>
      <c r="F635" s="78"/>
      <c r="G635" s="78"/>
      <c r="H635" s="13"/>
      <c r="I635" s="13"/>
      <c r="J635" s="13"/>
      <c r="K635" s="13"/>
      <c r="L635" s="13"/>
      <c r="M635" s="8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>
      <c r="A636" s="13"/>
      <c r="B636" s="13"/>
      <c r="C636" s="13"/>
      <c r="D636" s="13"/>
      <c r="E636" s="13"/>
      <c r="F636" s="78"/>
      <c r="G636" s="78"/>
      <c r="H636" s="13"/>
      <c r="I636" s="13"/>
      <c r="J636" s="13"/>
      <c r="K636" s="13"/>
      <c r="L636" s="13"/>
      <c r="M636" s="8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>
      <c r="A637" s="13"/>
      <c r="B637" s="13"/>
      <c r="C637" s="13"/>
      <c r="D637" s="13"/>
      <c r="E637" s="13"/>
      <c r="F637" s="78"/>
      <c r="G637" s="78"/>
      <c r="H637" s="13"/>
      <c r="I637" s="13"/>
      <c r="J637" s="13"/>
      <c r="K637" s="13"/>
      <c r="L637" s="13"/>
      <c r="M637" s="8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>
      <c r="A638" s="13"/>
      <c r="B638" s="13"/>
      <c r="C638" s="13"/>
      <c r="D638" s="13"/>
      <c r="E638" s="13"/>
      <c r="F638" s="78"/>
      <c r="G638" s="78"/>
      <c r="H638" s="13"/>
      <c r="I638" s="13"/>
      <c r="J638" s="13"/>
      <c r="K638" s="13"/>
      <c r="L638" s="13"/>
      <c r="M638" s="8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>
      <c r="A639" s="13"/>
      <c r="B639" s="13"/>
      <c r="C639" s="13"/>
      <c r="D639" s="13"/>
      <c r="E639" s="13"/>
      <c r="F639" s="78"/>
      <c r="G639" s="78"/>
      <c r="H639" s="13"/>
      <c r="I639" s="13"/>
      <c r="J639" s="13"/>
      <c r="K639" s="13"/>
      <c r="L639" s="13"/>
      <c r="M639" s="8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>
      <c r="A640" s="13"/>
      <c r="B640" s="13"/>
      <c r="C640" s="13"/>
      <c r="D640" s="13"/>
      <c r="E640" s="13"/>
      <c r="F640" s="78"/>
      <c r="G640" s="78"/>
      <c r="H640" s="13"/>
      <c r="I640" s="13"/>
      <c r="J640" s="13"/>
      <c r="K640" s="13"/>
      <c r="L640" s="13"/>
      <c r="M640" s="8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>
      <c r="A641" s="13"/>
      <c r="B641" s="13"/>
      <c r="C641" s="13"/>
      <c r="D641" s="13"/>
      <c r="E641" s="13"/>
      <c r="F641" s="78"/>
      <c r="G641" s="78"/>
      <c r="H641" s="13"/>
      <c r="I641" s="13"/>
      <c r="J641" s="13"/>
      <c r="K641" s="13"/>
      <c r="L641" s="13"/>
      <c r="M641" s="8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>
      <c r="A642" s="13"/>
      <c r="B642" s="13"/>
      <c r="C642" s="13"/>
      <c r="D642" s="13"/>
      <c r="E642" s="13"/>
      <c r="F642" s="78"/>
      <c r="G642" s="78"/>
      <c r="H642" s="13"/>
      <c r="I642" s="13"/>
      <c r="J642" s="13"/>
      <c r="K642" s="13"/>
      <c r="L642" s="13"/>
      <c r="M642" s="8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>
      <c r="A643" s="13"/>
      <c r="B643" s="13"/>
      <c r="C643" s="13"/>
      <c r="D643" s="13"/>
      <c r="E643" s="13"/>
      <c r="F643" s="78"/>
      <c r="G643" s="78"/>
      <c r="H643" s="13"/>
      <c r="I643" s="13"/>
      <c r="J643" s="13"/>
      <c r="K643" s="13"/>
      <c r="L643" s="13"/>
      <c r="M643" s="8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>
      <c r="A644" s="13"/>
      <c r="B644" s="13"/>
      <c r="C644" s="13"/>
      <c r="D644" s="13"/>
      <c r="E644" s="13"/>
      <c r="F644" s="78"/>
      <c r="G644" s="78"/>
      <c r="H644" s="13"/>
      <c r="I644" s="13"/>
      <c r="J644" s="13"/>
      <c r="K644" s="13"/>
      <c r="L644" s="13"/>
      <c r="M644" s="8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>
      <c r="A645" s="13"/>
      <c r="B645" s="13"/>
      <c r="C645" s="13"/>
      <c r="D645" s="13"/>
      <c r="E645" s="13"/>
      <c r="F645" s="78"/>
      <c r="G645" s="78"/>
      <c r="H645" s="13"/>
      <c r="I645" s="13"/>
      <c r="J645" s="13"/>
      <c r="K645" s="13"/>
      <c r="L645" s="13"/>
      <c r="M645" s="8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>
      <c r="A646" s="13"/>
      <c r="B646" s="13"/>
      <c r="C646" s="13"/>
      <c r="D646" s="13"/>
      <c r="E646" s="13"/>
      <c r="F646" s="78"/>
      <c r="G646" s="78"/>
      <c r="H646" s="13"/>
      <c r="I646" s="13"/>
      <c r="J646" s="13"/>
      <c r="K646" s="13"/>
      <c r="L646" s="13"/>
      <c r="M646" s="8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>
      <c r="A647" s="13"/>
      <c r="B647" s="13"/>
      <c r="C647" s="13"/>
      <c r="D647" s="13"/>
      <c r="E647" s="13"/>
      <c r="F647" s="78"/>
      <c r="G647" s="78"/>
      <c r="H647" s="13"/>
      <c r="I647" s="13"/>
      <c r="J647" s="13"/>
      <c r="K647" s="13"/>
      <c r="L647" s="13"/>
      <c r="M647" s="8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>
      <c r="A648" s="13"/>
      <c r="B648" s="13"/>
      <c r="C648" s="13"/>
      <c r="D648" s="13"/>
      <c r="E648" s="13"/>
      <c r="F648" s="78"/>
      <c r="G648" s="78"/>
      <c r="H648" s="13"/>
      <c r="I648" s="13"/>
      <c r="J648" s="13"/>
      <c r="K648" s="13"/>
      <c r="L648" s="13"/>
      <c r="M648" s="8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>
      <c r="A649" s="13"/>
      <c r="B649" s="13"/>
      <c r="C649" s="13"/>
      <c r="D649" s="13"/>
      <c r="E649" s="13"/>
      <c r="F649" s="78"/>
      <c r="G649" s="78"/>
      <c r="H649" s="13"/>
      <c r="I649" s="13"/>
      <c r="J649" s="13"/>
      <c r="K649" s="13"/>
      <c r="L649" s="13"/>
      <c r="M649" s="8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>
      <c r="A650" s="13"/>
      <c r="B650" s="13"/>
      <c r="C650" s="13"/>
      <c r="D650" s="13"/>
      <c r="E650" s="13"/>
      <c r="F650" s="78"/>
      <c r="G650" s="78"/>
      <c r="H650" s="13"/>
      <c r="I650" s="13"/>
      <c r="J650" s="13"/>
      <c r="K650" s="13"/>
      <c r="L650" s="13"/>
      <c r="M650" s="8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>
      <c r="A651" s="13"/>
      <c r="B651" s="13"/>
      <c r="C651" s="13"/>
      <c r="D651" s="13"/>
      <c r="E651" s="13"/>
      <c r="F651" s="78"/>
      <c r="G651" s="78"/>
      <c r="H651" s="13"/>
      <c r="I651" s="13"/>
      <c r="J651" s="13"/>
      <c r="K651" s="13"/>
      <c r="L651" s="13"/>
      <c r="M651" s="8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>
      <c r="A652" s="13"/>
      <c r="B652" s="13"/>
      <c r="C652" s="13"/>
      <c r="D652" s="13"/>
      <c r="E652" s="13"/>
      <c r="F652" s="78"/>
      <c r="G652" s="78"/>
      <c r="H652" s="13"/>
      <c r="I652" s="13"/>
      <c r="J652" s="13"/>
      <c r="K652" s="13"/>
      <c r="L652" s="13"/>
      <c r="M652" s="8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>
      <c r="A653" s="13"/>
      <c r="B653" s="13"/>
      <c r="C653" s="13"/>
      <c r="D653" s="13"/>
      <c r="E653" s="13"/>
      <c r="F653" s="78"/>
      <c r="G653" s="78"/>
      <c r="H653" s="13"/>
      <c r="I653" s="13"/>
      <c r="J653" s="13"/>
      <c r="K653" s="13"/>
      <c r="L653" s="13"/>
      <c r="M653" s="8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>
      <c r="A654" s="13"/>
      <c r="B654" s="13"/>
      <c r="C654" s="13"/>
      <c r="D654" s="13"/>
      <c r="E654" s="13"/>
      <c r="F654" s="78"/>
      <c r="G654" s="78"/>
      <c r="H654" s="13"/>
      <c r="I654" s="13"/>
      <c r="J654" s="13"/>
      <c r="K654" s="13"/>
      <c r="L654" s="13"/>
      <c r="M654" s="8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>
      <c r="A655" s="13"/>
      <c r="B655" s="13"/>
      <c r="C655" s="13"/>
      <c r="D655" s="13"/>
      <c r="E655" s="13"/>
      <c r="F655" s="78"/>
      <c r="G655" s="78"/>
      <c r="H655" s="13"/>
      <c r="I655" s="13"/>
      <c r="J655" s="13"/>
      <c r="K655" s="13"/>
      <c r="L655" s="13"/>
      <c r="M655" s="8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>
      <c r="A656" s="13"/>
      <c r="B656" s="13"/>
      <c r="C656" s="13"/>
      <c r="D656" s="13"/>
      <c r="E656" s="13"/>
      <c r="F656" s="78"/>
      <c r="G656" s="78"/>
      <c r="H656" s="13"/>
      <c r="I656" s="13"/>
      <c r="J656" s="13"/>
      <c r="K656" s="13"/>
      <c r="L656" s="13"/>
      <c r="M656" s="8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>
      <c r="A657" s="13"/>
      <c r="B657" s="13"/>
      <c r="C657" s="13"/>
      <c r="D657" s="13"/>
      <c r="E657" s="13"/>
      <c r="F657" s="78"/>
      <c r="G657" s="78"/>
      <c r="H657" s="13"/>
      <c r="I657" s="13"/>
      <c r="J657" s="13"/>
      <c r="K657" s="13"/>
      <c r="L657" s="13"/>
      <c r="M657" s="8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>
      <c r="A658" s="13"/>
      <c r="B658" s="13"/>
      <c r="C658" s="13"/>
      <c r="D658" s="13"/>
      <c r="E658" s="13"/>
      <c r="F658" s="78"/>
      <c r="G658" s="78"/>
      <c r="H658" s="13"/>
      <c r="I658" s="13"/>
      <c r="J658" s="13"/>
      <c r="K658" s="13"/>
      <c r="L658" s="13"/>
      <c r="M658" s="8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>
      <c r="A659" s="13"/>
      <c r="B659" s="13"/>
      <c r="C659" s="13"/>
      <c r="D659" s="13"/>
      <c r="E659" s="13"/>
      <c r="F659" s="78"/>
      <c r="G659" s="78"/>
      <c r="H659" s="13"/>
      <c r="I659" s="13"/>
      <c r="J659" s="13"/>
      <c r="K659" s="13"/>
      <c r="L659" s="13"/>
      <c r="M659" s="8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>
      <c r="A660" s="13"/>
      <c r="B660" s="13"/>
      <c r="C660" s="13"/>
      <c r="D660" s="13"/>
      <c r="E660" s="13"/>
      <c r="F660" s="78"/>
      <c r="G660" s="78"/>
      <c r="H660" s="13"/>
      <c r="I660" s="13"/>
      <c r="J660" s="13"/>
      <c r="K660" s="13"/>
      <c r="L660" s="13"/>
      <c r="M660" s="8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>
      <c r="A661" s="13"/>
      <c r="B661" s="13"/>
      <c r="C661" s="13"/>
      <c r="D661" s="13"/>
      <c r="E661" s="13"/>
      <c r="F661" s="78"/>
      <c r="G661" s="78"/>
      <c r="H661" s="13"/>
      <c r="I661" s="13"/>
      <c r="J661" s="13"/>
      <c r="K661" s="13"/>
      <c r="L661" s="13"/>
      <c r="M661" s="8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>
      <c r="A662" s="13"/>
      <c r="B662" s="13"/>
      <c r="C662" s="13"/>
      <c r="D662" s="13"/>
      <c r="E662" s="13"/>
      <c r="F662" s="78"/>
      <c r="G662" s="78"/>
      <c r="H662" s="13"/>
      <c r="I662" s="13"/>
      <c r="J662" s="13"/>
      <c r="K662" s="13"/>
      <c r="L662" s="13"/>
      <c r="M662" s="8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>
      <c r="A663" s="13"/>
      <c r="B663" s="13"/>
      <c r="C663" s="13"/>
      <c r="D663" s="13"/>
      <c r="E663" s="13"/>
      <c r="F663" s="78"/>
      <c r="G663" s="78"/>
      <c r="H663" s="13"/>
      <c r="I663" s="13"/>
      <c r="J663" s="13"/>
      <c r="K663" s="13"/>
      <c r="L663" s="13"/>
      <c r="M663" s="8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>
      <c r="A664" s="13"/>
      <c r="B664" s="13"/>
      <c r="C664" s="13"/>
      <c r="D664" s="13"/>
      <c r="E664" s="13"/>
      <c r="F664" s="78"/>
      <c r="G664" s="78"/>
      <c r="H664" s="13"/>
      <c r="I664" s="13"/>
      <c r="J664" s="13"/>
      <c r="K664" s="13"/>
      <c r="L664" s="13"/>
      <c r="M664" s="8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>
      <c r="A665" s="13"/>
      <c r="B665" s="13"/>
      <c r="C665" s="13"/>
      <c r="D665" s="13"/>
      <c r="E665" s="13"/>
      <c r="F665" s="78"/>
      <c r="G665" s="78"/>
      <c r="H665" s="13"/>
      <c r="I665" s="13"/>
      <c r="J665" s="13"/>
      <c r="K665" s="13"/>
      <c r="L665" s="13"/>
      <c r="M665" s="8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>
      <c r="A666" s="13"/>
      <c r="B666" s="13"/>
      <c r="C666" s="13"/>
      <c r="D666" s="13"/>
      <c r="E666" s="13"/>
      <c r="F666" s="78"/>
      <c r="G666" s="78"/>
      <c r="H666" s="13"/>
      <c r="I666" s="13"/>
      <c r="J666" s="13"/>
      <c r="K666" s="13"/>
      <c r="L666" s="13"/>
      <c r="M666" s="8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>
      <c r="A667" s="13"/>
      <c r="B667" s="13"/>
      <c r="C667" s="13"/>
      <c r="D667" s="13"/>
      <c r="E667" s="13"/>
      <c r="F667" s="78"/>
      <c r="G667" s="78"/>
      <c r="H667" s="13"/>
      <c r="I667" s="13"/>
      <c r="J667" s="13"/>
      <c r="K667" s="13"/>
      <c r="L667" s="13"/>
      <c r="M667" s="8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>
      <c r="A668" s="13"/>
      <c r="B668" s="13"/>
      <c r="C668" s="13"/>
      <c r="D668" s="13"/>
      <c r="E668" s="13"/>
      <c r="F668" s="78"/>
      <c r="G668" s="78"/>
      <c r="H668" s="13"/>
      <c r="I668" s="13"/>
      <c r="J668" s="13"/>
      <c r="K668" s="13"/>
      <c r="L668" s="13"/>
      <c r="M668" s="8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>
      <c r="A669" s="13"/>
      <c r="B669" s="13"/>
      <c r="C669" s="13"/>
      <c r="D669" s="13"/>
      <c r="E669" s="13"/>
      <c r="F669" s="78"/>
      <c r="G669" s="78"/>
      <c r="H669" s="13"/>
      <c r="I669" s="13"/>
      <c r="J669" s="13"/>
      <c r="K669" s="13"/>
      <c r="L669" s="13"/>
      <c r="M669" s="8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>
      <c r="A670" s="13"/>
      <c r="B670" s="13"/>
      <c r="C670" s="13"/>
      <c r="D670" s="13"/>
      <c r="E670" s="13"/>
      <c r="F670" s="78"/>
      <c r="G670" s="78"/>
      <c r="H670" s="13"/>
      <c r="I670" s="13"/>
      <c r="J670" s="13"/>
      <c r="K670" s="13"/>
      <c r="L670" s="13"/>
      <c r="M670" s="8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>
      <c r="A671" s="13"/>
      <c r="B671" s="13"/>
      <c r="C671" s="13"/>
      <c r="D671" s="13"/>
      <c r="E671" s="13"/>
      <c r="F671" s="78"/>
      <c r="G671" s="78"/>
      <c r="H671" s="13"/>
      <c r="I671" s="13"/>
      <c r="J671" s="13"/>
      <c r="K671" s="13"/>
      <c r="L671" s="13"/>
      <c r="M671" s="8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>
      <c r="A672" s="13"/>
      <c r="B672" s="13"/>
      <c r="C672" s="13"/>
      <c r="D672" s="13"/>
      <c r="E672" s="13"/>
      <c r="F672" s="78"/>
      <c r="G672" s="78"/>
      <c r="H672" s="13"/>
      <c r="I672" s="13"/>
      <c r="J672" s="13"/>
      <c r="K672" s="13"/>
      <c r="L672" s="13"/>
      <c r="M672" s="8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>
      <c r="A673" s="13"/>
      <c r="B673" s="13"/>
      <c r="C673" s="13"/>
      <c r="D673" s="13"/>
      <c r="E673" s="13"/>
      <c r="F673" s="78"/>
      <c r="G673" s="78"/>
      <c r="H673" s="13"/>
      <c r="I673" s="13"/>
      <c r="J673" s="13"/>
      <c r="K673" s="13"/>
      <c r="L673" s="13"/>
      <c r="M673" s="8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>
      <c r="A674" s="13"/>
      <c r="B674" s="13"/>
      <c r="C674" s="13"/>
      <c r="D674" s="13"/>
      <c r="E674" s="13"/>
      <c r="F674" s="78"/>
      <c r="G674" s="78"/>
      <c r="H674" s="13"/>
      <c r="I674" s="13"/>
      <c r="J674" s="13"/>
      <c r="K674" s="13"/>
      <c r="L674" s="13"/>
      <c r="M674" s="8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>
      <c r="A675" s="13"/>
      <c r="B675" s="13"/>
      <c r="C675" s="13"/>
      <c r="D675" s="13"/>
      <c r="E675" s="13"/>
      <c r="F675" s="78"/>
      <c r="G675" s="78"/>
      <c r="H675" s="13"/>
      <c r="I675" s="13"/>
      <c r="J675" s="13"/>
      <c r="K675" s="13"/>
      <c r="L675" s="13"/>
      <c r="M675" s="8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>
      <c r="A676" s="13"/>
      <c r="B676" s="13"/>
      <c r="C676" s="13"/>
      <c r="D676" s="13"/>
      <c r="E676" s="13"/>
      <c r="F676" s="78"/>
      <c r="G676" s="78"/>
      <c r="H676" s="13"/>
      <c r="I676" s="13"/>
      <c r="J676" s="13"/>
      <c r="K676" s="13"/>
      <c r="L676" s="13"/>
      <c r="M676" s="8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>
      <c r="A677" s="13"/>
      <c r="B677" s="13"/>
      <c r="C677" s="13"/>
      <c r="D677" s="13"/>
      <c r="E677" s="13"/>
      <c r="F677" s="78"/>
      <c r="G677" s="78"/>
      <c r="H677" s="13"/>
      <c r="I677" s="13"/>
      <c r="J677" s="13"/>
      <c r="K677" s="13"/>
      <c r="L677" s="13"/>
      <c r="M677" s="8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>
      <c r="A678" s="13"/>
      <c r="B678" s="13"/>
      <c r="C678" s="13"/>
      <c r="D678" s="13"/>
      <c r="E678" s="13"/>
      <c r="F678" s="78"/>
      <c r="G678" s="78"/>
      <c r="H678" s="13"/>
      <c r="I678" s="13"/>
      <c r="J678" s="13"/>
      <c r="K678" s="13"/>
      <c r="L678" s="13"/>
      <c r="M678" s="8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>
      <c r="A679" s="13"/>
      <c r="B679" s="13"/>
      <c r="C679" s="13"/>
      <c r="D679" s="13"/>
      <c r="E679" s="13"/>
      <c r="F679" s="78"/>
      <c r="G679" s="78"/>
      <c r="H679" s="13"/>
      <c r="I679" s="13"/>
      <c r="J679" s="13"/>
      <c r="K679" s="13"/>
      <c r="L679" s="13"/>
      <c r="M679" s="8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>
      <c r="A680" s="13"/>
      <c r="B680" s="13"/>
      <c r="C680" s="13"/>
      <c r="D680" s="13"/>
      <c r="E680" s="13"/>
      <c r="F680" s="78"/>
      <c r="G680" s="78"/>
      <c r="H680" s="13"/>
      <c r="I680" s="13"/>
      <c r="J680" s="13"/>
      <c r="K680" s="13"/>
      <c r="L680" s="13"/>
      <c r="M680" s="8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>
      <c r="A681" s="13"/>
      <c r="B681" s="13"/>
      <c r="C681" s="13"/>
      <c r="D681" s="13"/>
      <c r="E681" s="13"/>
      <c r="F681" s="78"/>
      <c r="G681" s="78"/>
      <c r="H681" s="13"/>
      <c r="I681" s="13"/>
      <c r="J681" s="13"/>
      <c r="K681" s="13"/>
      <c r="L681" s="13"/>
      <c r="M681" s="8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>
      <c r="A682" s="13"/>
      <c r="B682" s="13"/>
      <c r="C682" s="13"/>
      <c r="D682" s="13"/>
      <c r="E682" s="13"/>
      <c r="F682" s="78"/>
      <c r="G682" s="78"/>
      <c r="H682" s="13"/>
      <c r="I682" s="13"/>
      <c r="J682" s="13"/>
      <c r="K682" s="13"/>
      <c r="L682" s="13"/>
      <c r="M682" s="8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>
      <c r="A683" s="13"/>
      <c r="B683" s="13"/>
      <c r="C683" s="13"/>
      <c r="D683" s="13"/>
      <c r="E683" s="13"/>
      <c r="F683" s="78"/>
      <c r="G683" s="78"/>
      <c r="H683" s="13"/>
      <c r="I683" s="13"/>
      <c r="J683" s="13"/>
      <c r="K683" s="13"/>
      <c r="L683" s="13"/>
      <c r="M683" s="8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>
      <c r="A684" s="13"/>
      <c r="B684" s="13"/>
      <c r="C684" s="13"/>
      <c r="D684" s="13"/>
      <c r="E684" s="13"/>
      <c r="F684" s="78"/>
      <c r="G684" s="78"/>
      <c r="H684" s="13"/>
      <c r="I684" s="13"/>
      <c r="J684" s="13"/>
      <c r="K684" s="13"/>
      <c r="L684" s="13"/>
      <c r="M684" s="8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>
      <c r="A685" s="13"/>
      <c r="B685" s="13"/>
      <c r="C685" s="13"/>
      <c r="D685" s="13"/>
      <c r="E685" s="13"/>
      <c r="F685" s="78"/>
      <c r="G685" s="78"/>
      <c r="H685" s="13"/>
      <c r="I685" s="13"/>
      <c r="J685" s="13"/>
      <c r="K685" s="13"/>
      <c r="L685" s="13"/>
      <c r="M685" s="8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>
      <c r="A686" s="13"/>
      <c r="B686" s="13"/>
      <c r="C686" s="13"/>
      <c r="D686" s="13"/>
      <c r="E686" s="13"/>
      <c r="F686" s="78"/>
      <c r="G686" s="78"/>
      <c r="H686" s="13"/>
      <c r="I686" s="13"/>
      <c r="J686" s="13"/>
      <c r="K686" s="13"/>
      <c r="L686" s="13"/>
      <c r="M686" s="8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>
      <c r="A687" s="13"/>
      <c r="B687" s="13"/>
      <c r="C687" s="13"/>
      <c r="D687" s="13"/>
      <c r="E687" s="13"/>
      <c r="F687" s="78"/>
      <c r="G687" s="78"/>
      <c r="H687" s="13"/>
      <c r="I687" s="13"/>
      <c r="J687" s="13"/>
      <c r="K687" s="13"/>
      <c r="L687" s="13"/>
      <c r="M687" s="8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>
      <c r="A688" s="13"/>
      <c r="B688" s="13"/>
      <c r="C688" s="13"/>
      <c r="D688" s="13"/>
      <c r="E688" s="13"/>
      <c r="F688" s="78"/>
      <c r="G688" s="78"/>
      <c r="H688" s="13"/>
      <c r="I688" s="13"/>
      <c r="J688" s="13"/>
      <c r="K688" s="13"/>
      <c r="L688" s="13"/>
      <c r="M688" s="8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>
      <c r="A689" s="13"/>
      <c r="B689" s="13"/>
      <c r="C689" s="13"/>
      <c r="D689" s="13"/>
      <c r="E689" s="13"/>
      <c r="F689" s="78"/>
      <c r="G689" s="78"/>
      <c r="H689" s="13"/>
      <c r="I689" s="13"/>
      <c r="J689" s="13"/>
      <c r="K689" s="13"/>
      <c r="L689" s="13"/>
      <c r="M689" s="8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>
      <c r="A690" s="13"/>
      <c r="B690" s="13"/>
      <c r="C690" s="13"/>
      <c r="D690" s="13"/>
      <c r="E690" s="13"/>
      <c r="F690" s="78"/>
      <c r="G690" s="78"/>
      <c r="H690" s="13"/>
      <c r="I690" s="13"/>
      <c r="J690" s="13"/>
      <c r="K690" s="13"/>
      <c r="L690" s="13"/>
      <c r="M690" s="8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>
      <c r="A691" s="13"/>
      <c r="B691" s="13"/>
      <c r="C691" s="13"/>
      <c r="D691" s="13"/>
      <c r="E691" s="13"/>
      <c r="F691" s="78"/>
      <c r="G691" s="78"/>
      <c r="H691" s="13"/>
      <c r="I691" s="13"/>
      <c r="J691" s="13"/>
      <c r="K691" s="13"/>
      <c r="L691" s="13"/>
      <c r="M691" s="8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>
      <c r="A692" s="13"/>
      <c r="B692" s="13"/>
      <c r="C692" s="13"/>
      <c r="D692" s="13"/>
      <c r="E692" s="13"/>
      <c r="F692" s="78"/>
      <c r="G692" s="78"/>
      <c r="H692" s="13"/>
      <c r="I692" s="13"/>
      <c r="J692" s="13"/>
      <c r="K692" s="13"/>
      <c r="L692" s="13"/>
      <c r="M692" s="8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>
      <c r="A693" s="13"/>
      <c r="B693" s="13"/>
      <c r="C693" s="13"/>
      <c r="D693" s="13"/>
      <c r="E693" s="13"/>
      <c r="F693" s="78"/>
      <c r="G693" s="78"/>
      <c r="H693" s="13"/>
      <c r="I693" s="13"/>
      <c r="J693" s="13"/>
      <c r="K693" s="13"/>
      <c r="L693" s="13"/>
      <c r="M693" s="8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>
      <c r="A694" s="13"/>
      <c r="B694" s="13"/>
      <c r="C694" s="13"/>
      <c r="D694" s="13"/>
      <c r="E694" s="13"/>
      <c r="F694" s="78"/>
      <c r="G694" s="78"/>
      <c r="H694" s="13"/>
      <c r="I694" s="13"/>
      <c r="J694" s="13"/>
      <c r="K694" s="13"/>
      <c r="L694" s="13"/>
      <c r="M694" s="8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>
      <c r="A695" s="13"/>
      <c r="B695" s="13"/>
      <c r="C695" s="13"/>
      <c r="D695" s="13"/>
      <c r="E695" s="13"/>
      <c r="F695" s="78"/>
      <c r="G695" s="78"/>
      <c r="H695" s="13"/>
      <c r="I695" s="13"/>
      <c r="J695" s="13"/>
      <c r="K695" s="13"/>
      <c r="L695" s="13"/>
      <c r="M695" s="8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>
      <c r="A696" s="13"/>
      <c r="B696" s="13"/>
      <c r="C696" s="13"/>
      <c r="D696" s="13"/>
      <c r="E696" s="13"/>
      <c r="F696" s="78"/>
      <c r="G696" s="78"/>
      <c r="H696" s="13"/>
      <c r="I696" s="13"/>
      <c r="J696" s="13"/>
      <c r="K696" s="13"/>
      <c r="L696" s="13"/>
      <c r="M696" s="8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>
      <c r="A697" s="13"/>
      <c r="B697" s="13"/>
      <c r="C697" s="13"/>
      <c r="D697" s="13"/>
      <c r="E697" s="13"/>
      <c r="F697" s="78"/>
      <c r="G697" s="78"/>
      <c r="H697" s="13"/>
      <c r="I697" s="13"/>
      <c r="J697" s="13"/>
      <c r="K697" s="13"/>
      <c r="L697" s="13"/>
      <c r="M697" s="8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>
      <c r="A698" s="13"/>
      <c r="B698" s="13"/>
      <c r="C698" s="13"/>
      <c r="D698" s="13"/>
      <c r="E698" s="13"/>
      <c r="F698" s="78"/>
      <c r="G698" s="78"/>
      <c r="H698" s="13"/>
      <c r="I698" s="13"/>
      <c r="J698" s="13"/>
      <c r="K698" s="13"/>
      <c r="L698" s="13"/>
      <c r="M698" s="8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>
      <c r="A699" s="13"/>
      <c r="B699" s="13"/>
      <c r="C699" s="13"/>
      <c r="D699" s="13"/>
      <c r="E699" s="13"/>
      <c r="F699" s="78"/>
      <c r="G699" s="78"/>
      <c r="H699" s="13"/>
      <c r="I699" s="13"/>
      <c r="J699" s="13"/>
      <c r="K699" s="13"/>
      <c r="L699" s="13"/>
      <c r="M699" s="8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>
      <c r="A700" s="13"/>
      <c r="B700" s="13"/>
      <c r="C700" s="13"/>
      <c r="D700" s="13"/>
      <c r="E700" s="13"/>
      <c r="F700" s="78"/>
      <c r="G700" s="78"/>
      <c r="H700" s="13"/>
      <c r="I700" s="13"/>
      <c r="J700" s="13"/>
      <c r="K700" s="13"/>
      <c r="L700" s="13"/>
      <c r="M700" s="8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>
      <c r="A701" s="13"/>
      <c r="B701" s="13"/>
      <c r="C701" s="13"/>
      <c r="D701" s="13"/>
      <c r="E701" s="13"/>
      <c r="F701" s="78"/>
      <c r="G701" s="78"/>
      <c r="H701" s="13"/>
      <c r="I701" s="13"/>
      <c r="J701" s="13"/>
      <c r="K701" s="13"/>
      <c r="L701" s="13"/>
      <c r="M701" s="8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>
      <c r="A702" s="13"/>
      <c r="B702" s="13"/>
      <c r="C702" s="13"/>
      <c r="D702" s="13"/>
      <c r="E702" s="13"/>
      <c r="F702" s="78"/>
      <c r="G702" s="78"/>
      <c r="H702" s="13"/>
      <c r="I702" s="13"/>
      <c r="J702" s="13"/>
      <c r="K702" s="13"/>
      <c r="L702" s="13"/>
      <c r="M702" s="8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>
      <c r="A703" s="13"/>
      <c r="B703" s="13"/>
      <c r="C703" s="13"/>
      <c r="D703" s="13"/>
      <c r="E703" s="13"/>
      <c r="F703" s="78"/>
      <c r="G703" s="78"/>
      <c r="H703" s="13"/>
      <c r="I703" s="13"/>
      <c r="J703" s="13"/>
      <c r="K703" s="13"/>
      <c r="L703" s="13"/>
      <c r="M703" s="8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>
      <c r="A704" s="13"/>
      <c r="B704" s="13"/>
      <c r="C704" s="13"/>
      <c r="D704" s="13"/>
      <c r="E704" s="13"/>
      <c r="F704" s="78"/>
      <c r="G704" s="78"/>
      <c r="H704" s="13"/>
      <c r="I704" s="13"/>
      <c r="J704" s="13"/>
      <c r="K704" s="13"/>
      <c r="L704" s="13"/>
      <c r="M704" s="8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>
      <c r="A705" s="13"/>
      <c r="B705" s="13"/>
      <c r="C705" s="13"/>
      <c r="D705" s="13"/>
      <c r="E705" s="13"/>
      <c r="F705" s="78"/>
      <c r="G705" s="78"/>
      <c r="H705" s="13"/>
      <c r="I705" s="13"/>
      <c r="J705" s="13"/>
      <c r="K705" s="13"/>
      <c r="L705" s="13"/>
      <c r="M705" s="8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>
      <c r="A706" s="13"/>
      <c r="B706" s="13"/>
      <c r="C706" s="13"/>
      <c r="D706" s="13"/>
      <c r="E706" s="13"/>
      <c r="F706" s="78"/>
      <c r="G706" s="78"/>
      <c r="H706" s="13"/>
      <c r="I706" s="13"/>
      <c r="J706" s="13"/>
      <c r="K706" s="13"/>
      <c r="L706" s="13"/>
      <c r="M706" s="8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>
      <c r="A707" s="13"/>
      <c r="B707" s="13"/>
      <c r="C707" s="13"/>
      <c r="D707" s="13"/>
      <c r="E707" s="13"/>
      <c r="F707" s="78"/>
      <c r="G707" s="78"/>
      <c r="H707" s="13"/>
      <c r="I707" s="13"/>
      <c r="J707" s="13"/>
      <c r="K707" s="13"/>
      <c r="L707" s="13"/>
      <c r="M707" s="8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>
      <c r="A708" s="13"/>
      <c r="B708" s="13"/>
      <c r="C708" s="13"/>
      <c r="D708" s="13"/>
      <c r="E708" s="13"/>
      <c r="F708" s="78"/>
      <c r="G708" s="78"/>
      <c r="H708" s="13"/>
      <c r="I708" s="13"/>
      <c r="J708" s="13"/>
      <c r="K708" s="13"/>
      <c r="L708" s="13"/>
      <c r="M708" s="8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>
      <c r="A709" s="13"/>
      <c r="B709" s="13"/>
      <c r="C709" s="13"/>
      <c r="D709" s="13"/>
      <c r="E709" s="13"/>
      <c r="F709" s="78"/>
      <c r="G709" s="78"/>
      <c r="H709" s="13"/>
      <c r="I709" s="13"/>
      <c r="J709" s="13"/>
      <c r="K709" s="13"/>
      <c r="L709" s="13"/>
      <c r="M709" s="8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>
      <c r="A710" s="13"/>
      <c r="B710" s="13"/>
      <c r="C710" s="13"/>
      <c r="D710" s="13"/>
      <c r="E710" s="13"/>
      <c r="F710" s="78"/>
      <c r="G710" s="78"/>
      <c r="H710" s="13"/>
      <c r="I710" s="13"/>
      <c r="J710" s="13"/>
      <c r="K710" s="13"/>
      <c r="L710" s="13"/>
      <c r="M710" s="8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>
      <c r="A711" s="13"/>
      <c r="B711" s="13"/>
      <c r="C711" s="13"/>
      <c r="D711" s="13"/>
      <c r="E711" s="13"/>
      <c r="F711" s="78"/>
      <c r="G711" s="78"/>
      <c r="H711" s="13"/>
      <c r="I711" s="13"/>
      <c r="J711" s="13"/>
      <c r="K711" s="13"/>
      <c r="L711" s="13"/>
      <c r="M711" s="8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>
      <c r="A712" s="13"/>
      <c r="B712" s="13"/>
      <c r="C712" s="13"/>
      <c r="D712" s="13"/>
      <c r="E712" s="13"/>
      <c r="F712" s="78"/>
      <c r="G712" s="78"/>
      <c r="H712" s="13"/>
      <c r="I712" s="13"/>
      <c r="J712" s="13"/>
      <c r="K712" s="13"/>
      <c r="L712" s="13"/>
      <c r="M712" s="8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>
      <c r="A713" s="13"/>
      <c r="B713" s="13"/>
      <c r="C713" s="13"/>
      <c r="D713" s="13"/>
      <c r="E713" s="13"/>
      <c r="F713" s="78"/>
      <c r="G713" s="78"/>
      <c r="H713" s="13"/>
      <c r="I713" s="13"/>
      <c r="J713" s="13"/>
      <c r="K713" s="13"/>
      <c r="L713" s="13"/>
      <c r="M713" s="8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>
      <c r="A714" s="13"/>
      <c r="B714" s="13"/>
      <c r="C714" s="13"/>
      <c r="D714" s="13"/>
      <c r="E714" s="13"/>
      <c r="F714" s="78"/>
      <c r="G714" s="78"/>
      <c r="H714" s="13"/>
      <c r="I714" s="13"/>
      <c r="J714" s="13"/>
      <c r="K714" s="13"/>
      <c r="L714" s="13"/>
      <c r="M714" s="8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>
      <c r="A715" s="13"/>
      <c r="B715" s="13"/>
      <c r="C715" s="13"/>
      <c r="D715" s="13"/>
      <c r="E715" s="13"/>
      <c r="F715" s="78"/>
      <c r="G715" s="78"/>
      <c r="H715" s="13"/>
      <c r="I715" s="13"/>
      <c r="J715" s="13"/>
      <c r="K715" s="13"/>
      <c r="L715" s="13"/>
      <c r="M715" s="8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>
      <c r="A716" s="13"/>
      <c r="B716" s="13"/>
      <c r="C716" s="13"/>
      <c r="D716" s="13"/>
      <c r="E716" s="13"/>
      <c r="F716" s="78"/>
      <c r="G716" s="78"/>
      <c r="H716" s="13"/>
      <c r="I716" s="13"/>
      <c r="J716" s="13"/>
      <c r="K716" s="13"/>
      <c r="L716" s="13"/>
      <c r="M716" s="8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>
      <c r="A717" s="13"/>
      <c r="B717" s="13"/>
      <c r="C717" s="13"/>
      <c r="D717" s="13"/>
      <c r="E717" s="13"/>
      <c r="F717" s="78"/>
      <c r="G717" s="78"/>
      <c r="H717" s="13"/>
      <c r="I717" s="13"/>
      <c r="J717" s="13"/>
      <c r="K717" s="13"/>
      <c r="L717" s="13"/>
      <c r="M717" s="8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>
      <c r="A718" s="13"/>
      <c r="B718" s="13"/>
      <c r="C718" s="13"/>
      <c r="D718" s="13"/>
      <c r="E718" s="13"/>
      <c r="F718" s="78"/>
      <c r="G718" s="78"/>
      <c r="H718" s="13"/>
      <c r="I718" s="13"/>
      <c r="J718" s="13"/>
      <c r="K718" s="13"/>
      <c r="L718" s="13"/>
      <c r="M718" s="8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>
      <c r="A719" s="13"/>
      <c r="B719" s="13"/>
      <c r="C719" s="13"/>
      <c r="D719" s="13"/>
      <c r="E719" s="13"/>
      <c r="F719" s="78"/>
      <c r="G719" s="78"/>
      <c r="H719" s="13"/>
      <c r="I719" s="13"/>
      <c r="J719" s="13"/>
      <c r="K719" s="13"/>
      <c r="L719" s="13"/>
      <c r="M719" s="8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>
      <c r="A720" s="13"/>
      <c r="B720" s="13"/>
      <c r="C720" s="13"/>
      <c r="D720" s="13"/>
      <c r="E720" s="13"/>
      <c r="F720" s="78"/>
      <c r="G720" s="78"/>
      <c r="H720" s="13"/>
      <c r="I720" s="13"/>
      <c r="J720" s="13"/>
      <c r="K720" s="13"/>
      <c r="L720" s="13"/>
      <c r="M720" s="8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>
      <c r="A721" s="13"/>
      <c r="B721" s="13"/>
      <c r="C721" s="13"/>
      <c r="D721" s="13"/>
      <c r="E721" s="13"/>
      <c r="F721" s="78"/>
      <c r="G721" s="78"/>
      <c r="H721" s="13"/>
      <c r="I721" s="13"/>
      <c r="J721" s="13"/>
      <c r="K721" s="13"/>
      <c r="L721" s="13"/>
      <c r="M721" s="8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>
      <c r="A722" s="13"/>
      <c r="B722" s="13"/>
      <c r="C722" s="13"/>
      <c r="D722" s="13"/>
      <c r="E722" s="13"/>
      <c r="F722" s="78"/>
      <c r="G722" s="78"/>
      <c r="H722" s="13"/>
      <c r="I722" s="13"/>
      <c r="J722" s="13"/>
      <c r="K722" s="13"/>
      <c r="L722" s="13"/>
      <c r="M722" s="8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>
      <c r="A723" s="13"/>
      <c r="B723" s="13"/>
      <c r="C723" s="13"/>
      <c r="D723" s="13"/>
      <c r="E723" s="13"/>
      <c r="F723" s="78"/>
      <c r="G723" s="78"/>
      <c r="H723" s="13"/>
      <c r="I723" s="13"/>
      <c r="J723" s="13"/>
      <c r="K723" s="13"/>
      <c r="L723" s="13"/>
      <c r="M723" s="8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>
      <c r="A724" s="13"/>
      <c r="B724" s="13"/>
      <c r="C724" s="13"/>
      <c r="D724" s="13"/>
      <c r="E724" s="13"/>
      <c r="F724" s="78"/>
      <c r="G724" s="78"/>
      <c r="H724" s="13"/>
      <c r="I724" s="13"/>
      <c r="J724" s="13"/>
      <c r="K724" s="13"/>
      <c r="L724" s="13"/>
      <c r="M724" s="8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>
      <c r="A725" s="13"/>
      <c r="B725" s="13"/>
      <c r="C725" s="13"/>
      <c r="D725" s="13"/>
      <c r="E725" s="13"/>
      <c r="F725" s="78"/>
      <c r="G725" s="78"/>
      <c r="H725" s="13"/>
      <c r="I725" s="13"/>
      <c r="J725" s="13"/>
      <c r="K725" s="13"/>
      <c r="L725" s="13"/>
      <c r="M725" s="8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>
      <c r="A726" s="13"/>
      <c r="B726" s="13"/>
      <c r="C726" s="13"/>
      <c r="D726" s="13"/>
      <c r="E726" s="13"/>
      <c r="F726" s="78"/>
      <c r="G726" s="78"/>
      <c r="H726" s="13"/>
      <c r="I726" s="13"/>
      <c r="J726" s="13"/>
      <c r="K726" s="13"/>
      <c r="L726" s="13"/>
      <c r="M726" s="8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>
      <c r="A727" s="13"/>
      <c r="B727" s="13"/>
      <c r="C727" s="13"/>
      <c r="D727" s="13"/>
      <c r="E727" s="13"/>
      <c r="F727" s="78"/>
      <c r="G727" s="78"/>
      <c r="H727" s="13"/>
      <c r="I727" s="13"/>
      <c r="J727" s="13"/>
      <c r="K727" s="13"/>
      <c r="L727" s="13"/>
      <c r="M727" s="8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>
      <c r="A728" s="13"/>
      <c r="B728" s="13"/>
      <c r="C728" s="13"/>
      <c r="D728" s="13"/>
      <c r="E728" s="13"/>
      <c r="F728" s="78"/>
      <c r="G728" s="78"/>
      <c r="H728" s="13"/>
      <c r="I728" s="13"/>
      <c r="J728" s="13"/>
      <c r="K728" s="13"/>
      <c r="L728" s="13"/>
      <c r="M728" s="8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>
      <c r="A729" s="13"/>
      <c r="B729" s="13"/>
      <c r="C729" s="13"/>
      <c r="D729" s="13"/>
      <c r="E729" s="13"/>
      <c r="F729" s="78"/>
      <c r="G729" s="78"/>
      <c r="H729" s="13"/>
      <c r="I729" s="13"/>
      <c r="J729" s="13"/>
      <c r="K729" s="13"/>
      <c r="L729" s="13"/>
      <c r="M729" s="8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>
      <c r="A730" s="13"/>
      <c r="B730" s="13"/>
      <c r="C730" s="13"/>
      <c r="D730" s="13"/>
      <c r="E730" s="13"/>
      <c r="F730" s="78"/>
      <c r="G730" s="78"/>
      <c r="H730" s="13"/>
      <c r="I730" s="13"/>
      <c r="J730" s="13"/>
      <c r="K730" s="13"/>
      <c r="L730" s="13"/>
      <c r="M730" s="8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>
      <c r="A731" s="13"/>
      <c r="B731" s="13"/>
      <c r="C731" s="13"/>
      <c r="D731" s="13"/>
      <c r="E731" s="13"/>
      <c r="F731" s="78"/>
      <c r="G731" s="78"/>
      <c r="H731" s="13"/>
      <c r="I731" s="13"/>
      <c r="J731" s="13"/>
      <c r="K731" s="13"/>
      <c r="L731" s="13"/>
      <c r="M731" s="8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>
      <c r="A732" s="13"/>
      <c r="B732" s="13"/>
      <c r="C732" s="13"/>
      <c r="D732" s="13"/>
      <c r="E732" s="13"/>
      <c r="F732" s="78"/>
      <c r="G732" s="78"/>
      <c r="H732" s="13"/>
      <c r="I732" s="13"/>
      <c r="J732" s="13"/>
      <c r="K732" s="13"/>
      <c r="L732" s="13"/>
      <c r="M732" s="8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>
      <c r="A733" s="13"/>
      <c r="B733" s="13"/>
      <c r="C733" s="13"/>
      <c r="D733" s="13"/>
      <c r="E733" s="13"/>
      <c r="F733" s="78"/>
      <c r="G733" s="78"/>
      <c r="H733" s="13"/>
      <c r="I733" s="13"/>
      <c r="J733" s="13"/>
      <c r="K733" s="13"/>
      <c r="L733" s="13"/>
      <c r="M733" s="8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>
      <c r="A734" s="13"/>
      <c r="B734" s="13"/>
      <c r="C734" s="13"/>
      <c r="D734" s="13"/>
      <c r="E734" s="13"/>
      <c r="F734" s="78"/>
      <c r="G734" s="78"/>
      <c r="H734" s="13"/>
      <c r="I734" s="13"/>
      <c r="J734" s="13"/>
      <c r="K734" s="13"/>
      <c r="L734" s="13"/>
      <c r="M734" s="8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>
      <c r="A735" s="13"/>
      <c r="B735" s="13"/>
      <c r="C735" s="13"/>
      <c r="D735" s="13"/>
      <c r="E735" s="13"/>
      <c r="F735" s="78"/>
      <c r="G735" s="78"/>
      <c r="H735" s="13"/>
      <c r="I735" s="13"/>
      <c r="J735" s="13"/>
      <c r="K735" s="13"/>
      <c r="L735" s="13"/>
      <c r="M735" s="8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>
      <c r="A736" s="13"/>
      <c r="B736" s="13"/>
      <c r="C736" s="13"/>
      <c r="D736" s="13"/>
      <c r="E736" s="13"/>
      <c r="F736" s="78"/>
      <c r="G736" s="78"/>
      <c r="H736" s="13"/>
      <c r="I736" s="13"/>
      <c r="J736" s="13"/>
      <c r="K736" s="13"/>
      <c r="L736" s="13"/>
      <c r="M736" s="8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>
      <c r="A737" s="13"/>
      <c r="B737" s="13"/>
      <c r="C737" s="13"/>
      <c r="D737" s="13"/>
      <c r="E737" s="13"/>
      <c r="F737" s="78"/>
      <c r="G737" s="78"/>
      <c r="H737" s="13"/>
      <c r="I737" s="13"/>
      <c r="J737" s="13"/>
      <c r="K737" s="13"/>
      <c r="L737" s="13"/>
      <c r="M737" s="8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>
      <c r="A738" s="13"/>
      <c r="B738" s="13"/>
      <c r="C738" s="13"/>
      <c r="D738" s="13"/>
      <c r="E738" s="13"/>
      <c r="F738" s="78"/>
      <c r="G738" s="78"/>
      <c r="H738" s="13"/>
      <c r="I738" s="13"/>
      <c r="J738" s="13"/>
      <c r="K738" s="13"/>
      <c r="L738" s="13"/>
      <c r="M738" s="8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>
      <c r="A739" s="13"/>
      <c r="B739" s="13"/>
      <c r="C739" s="13"/>
      <c r="D739" s="13"/>
      <c r="E739" s="13"/>
      <c r="F739" s="78"/>
      <c r="G739" s="78"/>
      <c r="H739" s="13"/>
      <c r="I739" s="13"/>
      <c r="J739" s="13"/>
      <c r="K739" s="13"/>
      <c r="L739" s="13"/>
      <c r="M739" s="8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>
      <c r="A740" s="13"/>
      <c r="B740" s="13"/>
      <c r="C740" s="13"/>
      <c r="D740" s="13"/>
      <c r="E740" s="13"/>
      <c r="F740" s="78"/>
      <c r="G740" s="78"/>
      <c r="H740" s="13"/>
      <c r="I740" s="13"/>
      <c r="J740" s="13"/>
      <c r="K740" s="13"/>
      <c r="L740" s="13"/>
      <c r="M740" s="8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>
      <c r="A741" s="13"/>
      <c r="B741" s="13"/>
      <c r="C741" s="13"/>
      <c r="D741" s="13"/>
      <c r="E741" s="13"/>
      <c r="F741" s="78"/>
      <c r="G741" s="78"/>
      <c r="H741" s="13"/>
      <c r="I741" s="13"/>
      <c r="J741" s="13"/>
      <c r="K741" s="13"/>
      <c r="L741" s="13"/>
      <c r="M741" s="8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>
      <c r="A742" s="13"/>
      <c r="B742" s="13"/>
      <c r="C742" s="13"/>
      <c r="D742" s="13"/>
      <c r="E742" s="13"/>
      <c r="F742" s="78"/>
      <c r="G742" s="78"/>
      <c r="H742" s="13"/>
      <c r="I742" s="13"/>
      <c r="J742" s="13"/>
      <c r="K742" s="13"/>
      <c r="L742" s="13"/>
      <c r="M742" s="8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>
      <c r="A743" s="13"/>
      <c r="B743" s="13"/>
      <c r="C743" s="13"/>
      <c r="D743" s="13"/>
      <c r="E743" s="13"/>
      <c r="F743" s="78"/>
      <c r="G743" s="78"/>
      <c r="H743" s="13"/>
      <c r="I743" s="13"/>
      <c r="J743" s="13"/>
      <c r="K743" s="13"/>
      <c r="L743" s="13"/>
      <c r="M743" s="8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>
      <c r="A744" s="13"/>
      <c r="B744" s="13"/>
      <c r="C744" s="13"/>
      <c r="D744" s="13"/>
      <c r="E744" s="13"/>
      <c r="F744" s="78"/>
      <c r="G744" s="78"/>
      <c r="H744" s="13"/>
      <c r="I744" s="13"/>
      <c r="J744" s="13"/>
      <c r="K744" s="13"/>
      <c r="L744" s="13"/>
      <c r="M744" s="8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>
      <c r="A745" s="13"/>
      <c r="B745" s="13"/>
      <c r="C745" s="13"/>
      <c r="D745" s="13"/>
      <c r="E745" s="13"/>
      <c r="F745" s="78"/>
      <c r="G745" s="78"/>
      <c r="H745" s="13"/>
      <c r="I745" s="13"/>
      <c r="J745" s="13"/>
      <c r="K745" s="13"/>
      <c r="L745" s="13"/>
      <c r="M745" s="8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>
      <c r="A746" s="13"/>
      <c r="B746" s="13"/>
      <c r="C746" s="13"/>
      <c r="D746" s="13"/>
      <c r="E746" s="13"/>
      <c r="F746" s="78"/>
      <c r="G746" s="78"/>
      <c r="H746" s="13"/>
      <c r="I746" s="13"/>
      <c r="J746" s="13"/>
      <c r="K746" s="13"/>
      <c r="L746" s="13"/>
      <c r="M746" s="8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>
      <c r="A747" s="13"/>
      <c r="B747" s="13"/>
      <c r="C747" s="13"/>
      <c r="D747" s="13"/>
      <c r="E747" s="13"/>
      <c r="F747" s="78"/>
      <c r="G747" s="78"/>
      <c r="H747" s="13"/>
      <c r="I747" s="13"/>
      <c r="J747" s="13"/>
      <c r="K747" s="13"/>
      <c r="L747" s="13"/>
      <c r="M747" s="8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>
      <c r="A748" s="13"/>
      <c r="B748" s="13"/>
      <c r="C748" s="13"/>
      <c r="D748" s="13"/>
      <c r="E748" s="13"/>
      <c r="F748" s="78"/>
      <c r="G748" s="78"/>
      <c r="H748" s="13"/>
      <c r="I748" s="13"/>
      <c r="J748" s="13"/>
      <c r="K748" s="13"/>
      <c r="L748" s="13"/>
      <c r="M748" s="8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>
      <c r="A749" s="13"/>
      <c r="B749" s="13"/>
      <c r="C749" s="13"/>
      <c r="D749" s="13"/>
      <c r="E749" s="13"/>
      <c r="F749" s="78"/>
      <c r="G749" s="78"/>
      <c r="H749" s="13"/>
      <c r="I749" s="13"/>
      <c r="J749" s="13"/>
      <c r="K749" s="13"/>
      <c r="L749" s="13"/>
      <c r="M749" s="8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>
      <c r="A750" s="13"/>
      <c r="B750" s="13"/>
      <c r="C750" s="13"/>
      <c r="D750" s="13"/>
      <c r="E750" s="13"/>
      <c r="F750" s="78"/>
      <c r="G750" s="78"/>
      <c r="H750" s="13"/>
      <c r="I750" s="13"/>
      <c r="J750" s="13"/>
      <c r="K750" s="13"/>
      <c r="L750" s="13"/>
      <c r="M750" s="8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>
      <c r="A751" s="13"/>
      <c r="B751" s="13"/>
      <c r="C751" s="13"/>
      <c r="D751" s="13"/>
      <c r="E751" s="13"/>
      <c r="F751" s="78"/>
      <c r="G751" s="78"/>
      <c r="H751" s="13"/>
      <c r="I751" s="13"/>
      <c r="J751" s="13"/>
      <c r="K751" s="13"/>
      <c r="L751" s="13"/>
      <c r="M751" s="8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>
      <c r="A752" s="13"/>
      <c r="B752" s="13"/>
      <c r="C752" s="13"/>
      <c r="D752" s="13"/>
      <c r="E752" s="13"/>
      <c r="F752" s="78"/>
      <c r="G752" s="78"/>
      <c r="H752" s="13"/>
      <c r="I752" s="13"/>
      <c r="J752" s="13"/>
      <c r="K752" s="13"/>
      <c r="L752" s="13"/>
      <c r="M752" s="8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>
      <c r="A753" s="13"/>
      <c r="B753" s="13"/>
      <c r="C753" s="13"/>
      <c r="D753" s="13"/>
      <c r="E753" s="13"/>
      <c r="F753" s="78"/>
      <c r="G753" s="78"/>
      <c r="H753" s="13"/>
      <c r="I753" s="13"/>
      <c r="J753" s="13"/>
      <c r="K753" s="13"/>
      <c r="L753" s="13"/>
      <c r="M753" s="8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>
      <c r="A754" s="13"/>
      <c r="B754" s="13"/>
      <c r="C754" s="13"/>
      <c r="D754" s="13"/>
      <c r="E754" s="13"/>
      <c r="F754" s="78"/>
      <c r="G754" s="78"/>
      <c r="H754" s="13"/>
      <c r="I754" s="13"/>
      <c r="J754" s="13"/>
      <c r="K754" s="13"/>
      <c r="L754" s="13"/>
      <c r="M754" s="8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>
      <c r="A755" s="13"/>
      <c r="B755" s="13"/>
      <c r="C755" s="13"/>
      <c r="D755" s="13"/>
      <c r="E755" s="13"/>
      <c r="F755" s="78"/>
      <c r="G755" s="78"/>
      <c r="H755" s="13"/>
      <c r="I755" s="13"/>
      <c r="J755" s="13"/>
      <c r="K755" s="13"/>
      <c r="L755" s="13"/>
      <c r="M755" s="8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>
      <c r="A756" s="13"/>
      <c r="B756" s="13"/>
      <c r="C756" s="13"/>
      <c r="D756" s="13"/>
      <c r="E756" s="13"/>
      <c r="F756" s="78"/>
      <c r="G756" s="78"/>
      <c r="H756" s="13"/>
      <c r="I756" s="13"/>
      <c r="J756" s="13"/>
      <c r="K756" s="13"/>
      <c r="L756" s="13"/>
      <c r="M756" s="8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>
      <c r="A757" s="13"/>
      <c r="B757" s="13"/>
      <c r="C757" s="13"/>
      <c r="D757" s="13"/>
      <c r="E757" s="13"/>
      <c r="F757" s="78"/>
      <c r="G757" s="78"/>
      <c r="H757" s="13"/>
      <c r="I757" s="13"/>
      <c r="J757" s="13"/>
      <c r="K757" s="13"/>
      <c r="L757" s="13"/>
      <c r="M757" s="8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>
      <c r="A758" s="13"/>
      <c r="B758" s="13"/>
      <c r="C758" s="13"/>
      <c r="D758" s="13"/>
      <c r="E758" s="13"/>
      <c r="F758" s="78"/>
      <c r="G758" s="78"/>
      <c r="H758" s="13"/>
      <c r="I758" s="13"/>
      <c r="J758" s="13"/>
      <c r="K758" s="13"/>
      <c r="L758" s="13"/>
      <c r="M758" s="8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>
      <c r="A759" s="13"/>
      <c r="B759" s="13"/>
      <c r="C759" s="13"/>
      <c r="D759" s="13"/>
      <c r="E759" s="13"/>
      <c r="F759" s="78"/>
      <c r="G759" s="78"/>
      <c r="H759" s="13"/>
      <c r="I759" s="13"/>
      <c r="J759" s="13"/>
      <c r="K759" s="13"/>
      <c r="L759" s="13"/>
      <c r="M759" s="8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>
      <c r="A760" s="13"/>
      <c r="B760" s="13"/>
      <c r="C760" s="13"/>
      <c r="D760" s="13"/>
      <c r="E760" s="13"/>
      <c r="F760" s="78"/>
      <c r="G760" s="78"/>
      <c r="H760" s="13"/>
      <c r="I760" s="13"/>
      <c r="J760" s="13"/>
      <c r="K760" s="13"/>
      <c r="L760" s="13"/>
      <c r="M760" s="8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>
      <c r="A761" s="13"/>
      <c r="B761" s="13"/>
      <c r="C761" s="13"/>
      <c r="D761" s="13"/>
      <c r="E761" s="13"/>
      <c r="F761" s="78"/>
      <c r="G761" s="78"/>
      <c r="H761" s="13"/>
      <c r="I761" s="13"/>
      <c r="J761" s="13"/>
      <c r="K761" s="13"/>
      <c r="L761" s="13"/>
      <c r="M761" s="8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>
      <c r="A762" s="13"/>
      <c r="B762" s="13"/>
      <c r="C762" s="13"/>
      <c r="D762" s="13"/>
      <c r="E762" s="13"/>
      <c r="F762" s="78"/>
      <c r="G762" s="78"/>
      <c r="H762" s="13"/>
      <c r="I762" s="13"/>
      <c r="J762" s="13"/>
      <c r="K762" s="13"/>
      <c r="L762" s="13"/>
      <c r="M762" s="8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>
      <c r="A763" s="13"/>
      <c r="B763" s="13"/>
      <c r="C763" s="13"/>
      <c r="D763" s="13"/>
      <c r="E763" s="13"/>
      <c r="F763" s="78"/>
      <c r="G763" s="78"/>
      <c r="H763" s="13"/>
      <c r="I763" s="13"/>
      <c r="J763" s="13"/>
      <c r="K763" s="13"/>
      <c r="L763" s="13"/>
      <c r="M763" s="8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>
      <c r="A764" s="13"/>
      <c r="B764" s="13"/>
      <c r="C764" s="13"/>
      <c r="D764" s="13"/>
      <c r="E764" s="13"/>
      <c r="F764" s="78"/>
      <c r="G764" s="78"/>
      <c r="H764" s="13"/>
      <c r="I764" s="13"/>
      <c r="J764" s="13"/>
      <c r="K764" s="13"/>
      <c r="L764" s="13"/>
      <c r="M764" s="8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>
      <c r="A765" s="13"/>
      <c r="B765" s="13"/>
      <c r="C765" s="13"/>
      <c r="D765" s="13"/>
      <c r="E765" s="13"/>
      <c r="F765" s="78"/>
      <c r="G765" s="78"/>
      <c r="H765" s="13"/>
      <c r="I765" s="13"/>
      <c r="J765" s="13"/>
      <c r="K765" s="13"/>
      <c r="L765" s="13"/>
      <c r="M765" s="8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>
      <c r="A766" s="13"/>
      <c r="B766" s="13"/>
      <c r="C766" s="13"/>
      <c r="D766" s="13"/>
      <c r="E766" s="13"/>
      <c r="F766" s="78"/>
      <c r="G766" s="78"/>
      <c r="H766" s="13"/>
      <c r="I766" s="13"/>
      <c r="J766" s="13"/>
      <c r="K766" s="13"/>
      <c r="L766" s="13"/>
      <c r="M766" s="8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>
      <c r="A767" s="13"/>
      <c r="B767" s="13"/>
      <c r="C767" s="13"/>
      <c r="D767" s="13"/>
      <c r="E767" s="13"/>
      <c r="F767" s="78"/>
      <c r="G767" s="78"/>
      <c r="H767" s="13"/>
      <c r="I767" s="13"/>
      <c r="J767" s="13"/>
      <c r="K767" s="13"/>
      <c r="L767" s="13"/>
      <c r="M767" s="8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>
      <c r="A768" s="13"/>
      <c r="B768" s="13"/>
      <c r="C768" s="13"/>
      <c r="D768" s="13"/>
      <c r="E768" s="13"/>
      <c r="F768" s="78"/>
      <c r="G768" s="78"/>
      <c r="H768" s="13"/>
      <c r="I768" s="13"/>
      <c r="J768" s="13"/>
      <c r="K768" s="13"/>
      <c r="L768" s="13"/>
      <c r="M768" s="8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>
      <c r="A769" s="13"/>
      <c r="B769" s="13"/>
      <c r="C769" s="13"/>
      <c r="D769" s="13"/>
      <c r="E769" s="13"/>
      <c r="F769" s="78"/>
      <c r="G769" s="78"/>
      <c r="H769" s="13"/>
      <c r="I769" s="13"/>
      <c r="J769" s="13"/>
      <c r="K769" s="13"/>
      <c r="L769" s="13"/>
      <c r="M769" s="8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>
      <c r="A770" s="13"/>
      <c r="B770" s="13"/>
      <c r="C770" s="13"/>
      <c r="D770" s="13"/>
      <c r="E770" s="13"/>
      <c r="F770" s="78"/>
      <c r="G770" s="78"/>
      <c r="H770" s="13"/>
      <c r="I770" s="13"/>
      <c r="J770" s="13"/>
      <c r="K770" s="13"/>
      <c r="L770" s="13"/>
      <c r="M770" s="8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>
      <c r="A771" s="13"/>
      <c r="B771" s="13"/>
      <c r="C771" s="13"/>
      <c r="D771" s="13"/>
      <c r="E771" s="13"/>
      <c r="F771" s="78"/>
      <c r="G771" s="78"/>
      <c r="H771" s="13"/>
      <c r="I771" s="13"/>
      <c r="J771" s="13"/>
      <c r="K771" s="13"/>
      <c r="L771" s="13"/>
      <c r="M771" s="8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>
      <c r="A772" s="13"/>
      <c r="B772" s="13"/>
      <c r="C772" s="13"/>
      <c r="D772" s="13"/>
      <c r="E772" s="13"/>
      <c r="F772" s="78"/>
      <c r="G772" s="78"/>
      <c r="H772" s="13"/>
      <c r="I772" s="13"/>
      <c r="J772" s="13"/>
      <c r="K772" s="13"/>
      <c r="L772" s="13"/>
      <c r="M772" s="8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>
      <c r="A773" s="13"/>
      <c r="B773" s="13"/>
      <c r="C773" s="13"/>
      <c r="D773" s="13"/>
      <c r="E773" s="13"/>
      <c r="F773" s="78"/>
      <c r="G773" s="78"/>
      <c r="H773" s="13"/>
      <c r="I773" s="13"/>
      <c r="J773" s="13"/>
      <c r="K773" s="13"/>
      <c r="L773" s="13"/>
      <c r="M773" s="8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>
      <c r="A774" s="13"/>
      <c r="B774" s="13"/>
      <c r="C774" s="13"/>
      <c r="D774" s="13"/>
      <c r="E774" s="13"/>
      <c r="F774" s="78"/>
      <c r="G774" s="78"/>
      <c r="H774" s="13"/>
      <c r="I774" s="13"/>
      <c r="J774" s="13"/>
      <c r="K774" s="13"/>
      <c r="L774" s="13"/>
      <c r="M774" s="8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>
      <c r="A775" s="13"/>
      <c r="B775" s="13"/>
      <c r="C775" s="13"/>
      <c r="D775" s="13"/>
      <c r="E775" s="13"/>
      <c r="F775" s="78"/>
      <c r="G775" s="78"/>
      <c r="H775" s="13"/>
      <c r="I775" s="13"/>
      <c r="J775" s="13"/>
      <c r="K775" s="13"/>
      <c r="L775" s="13"/>
      <c r="M775" s="8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>
      <c r="A776" s="13"/>
      <c r="B776" s="13"/>
      <c r="C776" s="13"/>
      <c r="D776" s="13"/>
      <c r="E776" s="13"/>
      <c r="F776" s="78"/>
      <c r="G776" s="78"/>
      <c r="H776" s="13"/>
      <c r="I776" s="13"/>
      <c r="J776" s="13"/>
      <c r="K776" s="13"/>
      <c r="L776" s="13"/>
      <c r="M776" s="8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>
      <c r="A777" s="13"/>
      <c r="B777" s="13"/>
      <c r="C777" s="13"/>
      <c r="D777" s="13"/>
      <c r="E777" s="13"/>
      <c r="F777" s="78"/>
      <c r="G777" s="78"/>
      <c r="H777" s="13"/>
      <c r="I777" s="13"/>
      <c r="J777" s="13"/>
      <c r="K777" s="13"/>
      <c r="L777" s="13"/>
      <c r="M777" s="8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>
      <c r="A778" s="13"/>
      <c r="B778" s="13"/>
      <c r="C778" s="13"/>
      <c r="D778" s="13"/>
      <c r="E778" s="13"/>
      <c r="F778" s="78"/>
      <c r="G778" s="78"/>
      <c r="H778" s="13"/>
      <c r="I778" s="13"/>
      <c r="J778" s="13"/>
      <c r="K778" s="13"/>
      <c r="L778" s="13"/>
      <c r="M778" s="8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>
      <c r="A779" s="13"/>
      <c r="B779" s="13"/>
      <c r="C779" s="13"/>
      <c r="D779" s="13"/>
      <c r="E779" s="13"/>
      <c r="F779" s="78"/>
      <c r="G779" s="78"/>
      <c r="H779" s="13"/>
      <c r="I779" s="13"/>
      <c r="J779" s="13"/>
      <c r="K779" s="13"/>
      <c r="L779" s="13"/>
      <c r="M779" s="8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>
      <c r="A780" s="13"/>
      <c r="B780" s="13"/>
      <c r="C780" s="13"/>
      <c r="D780" s="13"/>
      <c r="E780" s="13"/>
      <c r="F780" s="78"/>
      <c r="G780" s="78"/>
      <c r="H780" s="13"/>
      <c r="I780" s="13"/>
      <c r="J780" s="13"/>
      <c r="K780" s="13"/>
      <c r="L780" s="13"/>
      <c r="M780" s="8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>
      <c r="A781" s="13"/>
      <c r="B781" s="13"/>
      <c r="C781" s="13"/>
      <c r="D781" s="13"/>
      <c r="E781" s="13"/>
      <c r="F781" s="78"/>
      <c r="G781" s="78"/>
      <c r="H781" s="13"/>
      <c r="I781" s="13"/>
      <c r="J781" s="13"/>
      <c r="K781" s="13"/>
      <c r="L781" s="13"/>
      <c r="M781" s="8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>
      <c r="A782" s="13"/>
      <c r="B782" s="13"/>
      <c r="C782" s="13"/>
      <c r="D782" s="13"/>
      <c r="E782" s="13"/>
      <c r="F782" s="78"/>
      <c r="G782" s="78"/>
      <c r="H782" s="13"/>
      <c r="I782" s="13"/>
      <c r="J782" s="13"/>
      <c r="K782" s="13"/>
      <c r="L782" s="13"/>
      <c r="M782" s="8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>
      <c r="A783" s="13"/>
      <c r="B783" s="13"/>
      <c r="C783" s="13"/>
      <c r="D783" s="13"/>
      <c r="E783" s="13"/>
      <c r="F783" s="78"/>
      <c r="G783" s="78"/>
      <c r="H783" s="13"/>
      <c r="I783" s="13"/>
      <c r="J783" s="13"/>
      <c r="K783" s="13"/>
      <c r="L783" s="13"/>
      <c r="M783" s="8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>
      <c r="A784" s="13"/>
      <c r="B784" s="13"/>
      <c r="C784" s="13"/>
      <c r="D784" s="13"/>
      <c r="E784" s="13"/>
      <c r="F784" s="78"/>
      <c r="G784" s="78"/>
      <c r="H784" s="13"/>
      <c r="I784" s="13"/>
      <c r="J784" s="13"/>
      <c r="K784" s="13"/>
      <c r="L784" s="13"/>
      <c r="M784" s="8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>
      <c r="A785" s="13"/>
      <c r="B785" s="13"/>
      <c r="C785" s="13"/>
      <c r="D785" s="13"/>
      <c r="E785" s="13"/>
      <c r="F785" s="78"/>
      <c r="G785" s="78"/>
      <c r="H785" s="13"/>
      <c r="I785" s="13"/>
      <c r="J785" s="13"/>
      <c r="K785" s="13"/>
      <c r="L785" s="13"/>
      <c r="M785" s="8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>
      <c r="A786" s="13"/>
      <c r="B786" s="13"/>
      <c r="C786" s="13"/>
      <c r="D786" s="13"/>
      <c r="E786" s="13"/>
      <c r="F786" s="78"/>
      <c r="G786" s="78"/>
      <c r="H786" s="13"/>
      <c r="I786" s="13"/>
      <c r="J786" s="13"/>
      <c r="K786" s="13"/>
      <c r="L786" s="13"/>
      <c r="M786" s="8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>
      <c r="A787" s="13"/>
      <c r="B787" s="13"/>
      <c r="C787" s="13"/>
      <c r="D787" s="13"/>
      <c r="E787" s="13"/>
      <c r="F787" s="78"/>
      <c r="G787" s="78"/>
      <c r="H787" s="13"/>
      <c r="I787" s="13"/>
      <c r="J787" s="13"/>
      <c r="K787" s="13"/>
      <c r="L787" s="13"/>
      <c r="M787" s="8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>
      <c r="A788" s="13"/>
      <c r="B788" s="13"/>
      <c r="C788" s="13"/>
      <c r="D788" s="13"/>
      <c r="E788" s="13"/>
      <c r="F788" s="78"/>
      <c r="G788" s="78"/>
      <c r="H788" s="13"/>
      <c r="I788" s="13"/>
      <c r="J788" s="13"/>
      <c r="K788" s="13"/>
      <c r="L788" s="13"/>
      <c r="M788" s="8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>
      <c r="A789" s="13"/>
      <c r="B789" s="13"/>
      <c r="C789" s="13"/>
      <c r="D789" s="13"/>
      <c r="E789" s="13"/>
      <c r="F789" s="78"/>
      <c r="G789" s="78"/>
      <c r="H789" s="13"/>
      <c r="I789" s="13"/>
      <c r="J789" s="13"/>
      <c r="K789" s="13"/>
      <c r="L789" s="13"/>
      <c r="M789" s="8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>
      <c r="A790" s="13"/>
      <c r="B790" s="13"/>
      <c r="C790" s="13"/>
      <c r="D790" s="13"/>
      <c r="E790" s="13"/>
      <c r="F790" s="78"/>
      <c r="G790" s="78"/>
      <c r="H790" s="13"/>
      <c r="I790" s="13"/>
      <c r="J790" s="13"/>
      <c r="K790" s="13"/>
      <c r="L790" s="13"/>
      <c r="M790" s="8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>
      <c r="A791" s="13"/>
      <c r="B791" s="13"/>
      <c r="C791" s="13"/>
      <c r="D791" s="13"/>
      <c r="E791" s="13"/>
      <c r="F791" s="78"/>
      <c r="G791" s="78"/>
      <c r="H791" s="13"/>
      <c r="I791" s="13"/>
      <c r="J791" s="13"/>
      <c r="K791" s="13"/>
      <c r="L791" s="13"/>
      <c r="M791" s="8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>
      <c r="A792" s="13"/>
      <c r="B792" s="13"/>
      <c r="C792" s="13"/>
      <c r="D792" s="13"/>
      <c r="E792" s="13"/>
      <c r="F792" s="78"/>
      <c r="G792" s="78"/>
      <c r="H792" s="13"/>
      <c r="I792" s="13"/>
      <c r="J792" s="13"/>
      <c r="K792" s="13"/>
      <c r="L792" s="13"/>
      <c r="M792" s="8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>
      <c r="A793" s="13"/>
      <c r="B793" s="13"/>
      <c r="C793" s="13"/>
      <c r="D793" s="13"/>
      <c r="E793" s="13"/>
      <c r="F793" s="78"/>
      <c r="G793" s="78"/>
      <c r="H793" s="13"/>
      <c r="I793" s="13"/>
      <c r="J793" s="13"/>
      <c r="K793" s="13"/>
      <c r="L793" s="13"/>
      <c r="M793" s="8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>
      <c r="A794" s="13"/>
      <c r="B794" s="13"/>
      <c r="C794" s="13"/>
      <c r="D794" s="13"/>
      <c r="E794" s="13"/>
      <c r="F794" s="78"/>
      <c r="G794" s="78"/>
      <c r="H794" s="13"/>
      <c r="I794" s="13"/>
      <c r="J794" s="13"/>
      <c r="K794" s="13"/>
      <c r="L794" s="13"/>
      <c r="M794" s="8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>
      <c r="A795" s="13"/>
      <c r="B795" s="13"/>
      <c r="C795" s="13"/>
      <c r="D795" s="13"/>
      <c r="E795" s="13"/>
      <c r="F795" s="78"/>
      <c r="G795" s="78"/>
      <c r="H795" s="13"/>
      <c r="I795" s="13"/>
      <c r="J795" s="13"/>
      <c r="K795" s="13"/>
      <c r="L795" s="13"/>
      <c r="M795" s="8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>
      <c r="A796" s="13"/>
      <c r="B796" s="13"/>
      <c r="C796" s="13"/>
      <c r="D796" s="13"/>
      <c r="E796" s="13"/>
      <c r="F796" s="78"/>
      <c r="G796" s="78"/>
      <c r="H796" s="13"/>
      <c r="I796" s="13"/>
      <c r="J796" s="13"/>
      <c r="K796" s="13"/>
      <c r="L796" s="13"/>
      <c r="M796" s="8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>
      <c r="A797" s="13"/>
      <c r="B797" s="13"/>
      <c r="C797" s="13"/>
      <c r="D797" s="13"/>
      <c r="E797" s="13"/>
      <c r="F797" s="78"/>
      <c r="G797" s="78"/>
      <c r="H797" s="13"/>
      <c r="I797" s="13"/>
      <c r="J797" s="13"/>
      <c r="K797" s="13"/>
      <c r="L797" s="13"/>
      <c r="M797" s="8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>
      <c r="A798" s="13"/>
      <c r="B798" s="13"/>
      <c r="C798" s="13"/>
      <c r="D798" s="13"/>
      <c r="E798" s="13"/>
      <c r="F798" s="78"/>
      <c r="G798" s="78"/>
      <c r="H798" s="13"/>
      <c r="I798" s="13"/>
      <c r="J798" s="13"/>
      <c r="K798" s="13"/>
      <c r="L798" s="13"/>
      <c r="M798" s="8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>
      <c r="A799" s="13"/>
      <c r="B799" s="13"/>
      <c r="C799" s="13"/>
      <c r="D799" s="13"/>
      <c r="E799" s="13"/>
      <c r="F799" s="78"/>
      <c r="G799" s="78"/>
      <c r="H799" s="13"/>
      <c r="I799" s="13"/>
      <c r="J799" s="13"/>
      <c r="K799" s="13"/>
      <c r="L799" s="13"/>
      <c r="M799" s="8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>
      <c r="A800" s="13"/>
      <c r="B800" s="13"/>
      <c r="C800" s="13"/>
      <c r="D800" s="13"/>
      <c r="E800" s="13"/>
      <c r="F800" s="78"/>
      <c r="G800" s="78"/>
      <c r="H800" s="13"/>
      <c r="I800" s="13"/>
      <c r="J800" s="13"/>
      <c r="K800" s="13"/>
      <c r="L800" s="13"/>
      <c r="M800" s="8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>
      <c r="A801" s="13"/>
      <c r="B801" s="13"/>
      <c r="C801" s="13"/>
      <c r="D801" s="13"/>
      <c r="E801" s="13"/>
      <c r="F801" s="78"/>
      <c r="G801" s="78"/>
      <c r="H801" s="13"/>
      <c r="I801" s="13"/>
      <c r="J801" s="13"/>
      <c r="K801" s="13"/>
      <c r="L801" s="13"/>
      <c r="M801" s="8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>
      <c r="A802" s="13"/>
      <c r="B802" s="13"/>
      <c r="C802" s="13"/>
      <c r="D802" s="13"/>
      <c r="E802" s="13"/>
      <c r="F802" s="78"/>
      <c r="G802" s="78"/>
      <c r="H802" s="13"/>
      <c r="I802" s="13"/>
      <c r="J802" s="13"/>
      <c r="K802" s="13"/>
      <c r="L802" s="13"/>
      <c r="M802" s="8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>
      <c r="A803" s="13"/>
      <c r="B803" s="13"/>
      <c r="C803" s="13"/>
      <c r="D803" s="13"/>
      <c r="E803" s="13"/>
      <c r="F803" s="78"/>
      <c r="G803" s="78"/>
      <c r="H803" s="13"/>
      <c r="I803" s="13"/>
      <c r="J803" s="13"/>
      <c r="K803" s="13"/>
      <c r="L803" s="13"/>
      <c r="M803" s="8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>
      <c r="A804" s="13"/>
      <c r="B804" s="13"/>
      <c r="C804" s="13"/>
      <c r="D804" s="13"/>
      <c r="E804" s="13"/>
      <c r="F804" s="78"/>
      <c r="G804" s="78"/>
      <c r="H804" s="13"/>
      <c r="I804" s="13"/>
      <c r="J804" s="13"/>
      <c r="K804" s="13"/>
      <c r="L804" s="13"/>
      <c r="M804" s="8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>
      <c r="A805" s="13"/>
      <c r="B805" s="13"/>
      <c r="C805" s="13"/>
      <c r="D805" s="13"/>
      <c r="E805" s="13"/>
      <c r="F805" s="78"/>
      <c r="G805" s="78"/>
      <c r="H805" s="13"/>
      <c r="I805" s="13"/>
      <c r="J805" s="13"/>
      <c r="K805" s="13"/>
      <c r="L805" s="13"/>
      <c r="M805" s="8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>
      <c r="A806" s="13"/>
      <c r="B806" s="13"/>
      <c r="C806" s="13"/>
      <c r="D806" s="13"/>
      <c r="E806" s="13"/>
      <c r="F806" s="78"/>
      <c r="G806" s="78"/>
      <c r="H806" s="13"/>
      <c r="I806" s="13"/>
      <c r="J806" s="13"/>
      <c r="K806" s="13"/>
      <c r="L806" s="13"/>
      <c r="M806" s="8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>
      <c r="A807" s="13"/>
      <c r="B807" s="13"/>
      <c r="C807" s="13"/>
      <c r="D807" s="13"/>
      <c r="E807" s="13"/>
      <c r="F807" s="78"/>
      <c r="G807" s="78"/>
      <c r="H807" s="13"/>
      <c r="I807" s="13"/>
      <c r="J807" s="13"/>
      <c r="K807" s="13"/>
      <c r="L807" s="13"/>
      <c r="M807" s="8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>
      <c r="A808" s="13"/>
      <c r="B808" s="13"/>
      <c r="C808" s="13"/>
      <c r="D808" s="13"/>
      <c r="E808" s="13"/>
      <c r="F808" s="78"/>
      <c r="G808" s="78"/>
      <c r="H808" s="13"/>
      <c r="I808" s="13"/>
      <c r="J808" s="13"/>
      <c r="K808" s="13"/>
      <c r="L808" s="13"/>
      <c r="M808" s="8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>
      <c r="A809" s="13"/>
      <c r="B809" s="13"/>
      <c r="C809" s="13"/>
      <c r="D809" s="13"/>
      <c r="E809" s="13"/>
      <c r="F809" s="78"/>
      <c r="G809" s="78"/>
      <c r="H809" s="13"/>
      <c r="I809" s="13"/>
      <c r="J809" s="13"/>
      <c r="K809" s="13"/>
      <c r="L809" s="13"/>
      <c r="M809" s="8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>
      <c r="A810" s="13"/>
      <c r="B810" s="13"/>
      <c r="C810" s="13"/>
      <c r="D810" s="13"/>
      <c r="E810" s="13"/>
      <c r="F810" s="78"/>
      <c r="G810" s="78"/>
      <c r="H810" s="13"/>
      <c r="I810" s="13"/>
      <c r="J810" s="13"/>
      <c r="K810" s="13"/>
      <c r="L810" s="13"/>
      <c r="M810" s="8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>
      <c r="A811" s="13"/>
      <c r="B811" s="13"/>
      <c r="C811" s="13"/>
      <c r="D811" s="13"/>
      <c r="E811" s="13"/>
      <c r="F811" s="78"/>
      <c r="G811" s="78"/>
      <c r="H811" s="13"/>
      <c r="I811" s="13"/>
      <c r="J811" s="13"/>
      <c r="K811" s="13"/>
      <c r="L811" s="13"/>
      <c r="M811" s="8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>
      <c r="A812" s="13"/>
      <c r="B812" s="13"/>
      <c r="C812" s="13"/>
      <c r="D812" s="13"/>
      <c r="E812" s="13"/>
      <c r="F812" s="78"/>
      <c r="G812" s="78"/>
      <c r="H812" s="13"/>
      <c r="I812" s="13"/>
      <c r="J812" s="13"/>
      <c r="K812" s="13"/>
      <c r="L812" s="13"/>
      <c r="M812" s="8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>
      <c r="A813" s="13"/>
      <c r="B813" s="13"/>
      <c r="C813" s="13"/>
      <c r="D813" s="13"/>
      <c r="E813" s="13"/>
      <c r="F813" s="78"/>
      <c r="G813" s="78"/>
      <c r="H813" s="13"/>
      <c r="I813" s="13"/>
      <c r="J813" s="13"/>
      <c r="K813" s="13"/>
      <c r="L813" s="13"/>
      <c r="M813" s="8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>
      <c r="A814" s="13"/>
      <c r="B814" s="13"/>
      <c r="C814" s="13"/>
      <c r="D814" s="13"/>
      <c r="E814" s="13"/>
      <c r="F814" s="78"/>
      <c r="G814" s="78"/>
      <c r="H814" s="13"/>
      <c r="I814" s="13"/>
      <c r="J814" s="13"/>
      <c r="K814" s="13"/>
      <c r="L814" s="13"/>
      <c r="M814" s="8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>
      <c r="A815" s="13"/>
      <c r="B815" s="13"/>
      <c r="C815" s="13"/>
      <c r="D815" s="13"/>
      <c r="E815" s="13"/>
      <c r="F815" s="78"/>
      <c r="G815" s="78"/>
      <c r="H815" s="13"/>
      <c r="I815" s="13"/>
      <c r="J815" s="13"/>
      <c r="K815" s="13"/>
      <c r="L815" s="13"/>
      <c r="M815" s="8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>
      <c r="A816" s="13"/>
      <c r="B816" s="13"/>
      <c r="C816" s="13"/>
      <c r="D816" s="13"/>
      <c r="E816" s="13"/>
      <c r="F816" s="78"/>
      <c r="G816" s="78"/>
      <c r="H816" s="13"/>
      <c r="I816" s="13"/>
      <c r="J816" s="13"/>
      <c r="K816" s="13"/>
      <c r="L816" s="13"/>
      <c r="M816" s="8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>
      <c r="A817" s="13"/>
      <c r="B817" s="13"/>
      <c r="C817" s="13"/>
      <c r="D817" s="13"/>
      <c r="E817" s="13"/>
      <c r="F817" s="78"/>
      <c r="G817" s="78"/>
      <c r="H817" s="13"/>
      <c r="I817" s="13"/>
      <c r="J817" s="13"/>
      <c r="K817" s="13"/>
      <c r="L817" s="13"/>
      <c r="M817" s="8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>
      <c r="A818" s="13"/>
      <c r="B818" s="13"/>
      <c r="C818" s="13"/>
      <c r="D818" s="13"/>
      <c r="E818" s="13"/>
      <c r="F818" s="78"/>
      <c r="G818" s="78"/>
      <c r="H818" s="13"/>
      <c r="I818" s="13"/>
      <c r="J818" s="13"/>
      <c r="K818" s="13"/>
      <c r="L818" s="13"/>
      <c r="M818" s="8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>
      <c r="A819" s="13"/>
      <c r="B819" s="13"/>
      <c r="C819" s="13"/>
      <c r="D819" s="13"/>
      <c r="E819" s="13"/>
      <c r="F819" s="78"/>
      <c r="G819" s="78"/>
      <c r="H819" s="13"/>
      <c r="I819" s="13"/>
      <c r="J819" s="13"/>
      <c r="K819" s="13"/>
      <c r="L819" s="13"/>
      <c r="M819" s="8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>
      <c r="A820" s="13"/>
      <c r="B820" s="13"/>
      <c r="C820" s="13"/>
      <c r="D820" s="13"/>
      <c r="E820" s="13"/>
      <c r="F820" s="78"/>
      <c r="G820" s="78"/>
      <c r="H820" s="13"/>
      <c r="I820" s="13"/>
      <c r="J820" s="13"/>
      <c r="K820" s="13"/>
      <c r="L820" s="13"/>
      <c r="M820" s="8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>
      <c r="A821" s="13"/>
      <c r="B821" s="13"/>
      <c r="C821" s="13"/>
      <c r="D821" s="13"/>
      <c r="E821" s="13"/>
      <c r="F821" s="78"/>
      <c r="G821" s="78"/>
      <c r="H821" s="13"/>
      <c r="I821" s="13"/>
      <c r="J821" s="13"/>
      <c r="K821" s="13"/>
      <c r="L821" s="13"/>
      <c r="M821" s="8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>
      <c r="A822" s="13"/>
      <c r="B822" s="13"/>
      <c r="C822" s="13"/>
      <c r="D822" s="13"/>
      <c r="E822" s="13"/>
      <c r="F822" s="78"/>
      <c r="G822" s="78"/>
      <c r="H822" s="13"/>
      <c r="I822" s="13"/>
      <c r="J822" s="13"/>
      <c r="K822" s="13"/>
      <c r="L822" s="13"/>
      <c r="M822" s="8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>
      <c r="A823" s="13"/>
      <c r="B823" s="13"/>
      <c r="C823" s="13"/>
      <c r="D823" s="13"/>
      <c r="E823" s="13"/>
      <c r="F823" s="78"/>
      <c r="G823" s="78"/>
      <c r="H823" s="13"/>
      <c r="I823" s="13"/>
      <c r="J823" s="13"/>
      <c r="K823" s="13"/>
      <c r="L823" s="13"/>
      <c r="M823" s="8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>
      <c r="A824" s="13"/>
      <c r="B824" s="13"/>
      <c r="C824" s="13"/>
      <c r="D824" s="13"/>
      <c r="E824" s="13"/>
      <c r="F824" s="78"/>
      <c r="G824" s="78"/>
      <c r="H824" s="13"/>
      <c r="I824" s="13"/>
      <c r="J824" s="13"/>
      <c r="K824" s="13"/>
      <c r="L824" s="13"/>
      <c r="M824" s="8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>
      <c r="A825" s="13"/>
      <c r="B825" s="13"/>
      <c r="C825" s="13"/>
      <c r="D825" s="13"/>
      <c r="E825" s="13"/>
      <c r="F825" s="78"/>
      <c r="G825" s="78"/>
      <c r="H825" s="13"/>
      <c r="I825" s="13"/>
      <c r="J825" s="13"/>
      <c r="K825" s="13"/>
      <c r="L825" s="13"/>
      <c r="M825" s="8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>
      <c r="A826" s="13"/>
      <c r="B826" s="13"/>
      <c r="C826" s="13"/>
      <c r="D826" s="13"/>
      <c r="E826" s="13"/>
      <c r="F826" s="78"/>
      <c r="G826" s="78"/>
      <c r="H826" s="13"/>
      <c r="I826" s="13"/>
      <c r="J826" s="13"/>
      <c r="K826" s="13"/>
      <c r="L826" s="13"/>
      <c r="M826" s="8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>
      <c r="A827" s="13"/>
      <c r="B827" s="13"/>
      <c r="C827" s="13"/>
      <c r="D827" s="13"/>
      <c r="E827" s="13"/>
      <c r="F827" s="78"/>
      <c r="G827" s="78"/>
      <c r="H827" s="13"/>
      <c r="I827" s="13"/>
      <c r="J827" s="13"/>
      <c r="K827" s="13"/>
      <c r="L827" s="13"/>
      <c r="M827" s="8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>
      <c r="A828" s="13"/>
      <c r="B828" s="13"/>
      <c r="C828" s="13"/>
      <c r="D828" s="13"/>
      <c r="E828" s="13"/>
      <c r="F828" s="78"/>
      <c r="G828" s="78"/>
      <c r="H828" s="13"/>
      <c r="I828" s="13"/>
      <c r="J828" s="13"/>
      <c r="K828" s="13"/>
      <c r="L828" s="13"/>
      <c r="M828" s="8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>
      <c r="A829" s="13"/>
      <c r="B829" s="13"/>
      <c r="C829" s="13"/>
      <c r="D829" s="13"/>
      <c r="E829" s="13"/>
      <c r="F829" s="78"/>
      <c r="G829" s="78"/>
      <c r="H829" s="13"/>
      <c r="I829" s="13"/>
      <c r="J829" s="13"/>
      <c r="K829" s="13"/>
      <c r="L829" s="13"/>
      <c r="M829" s="8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>
      <c r="A830" s="13"/>
      <c r="B830" s="13"/>
      <c r="C830" s="13"/>
      <c r="D830" s="13"/>
      <c r="E830" s="13"/>
      <c r="F830" s="78"/>
      <c r="G830" s="78"/>
      <c r="H830" s="13"/>
      <c r="I830" s="13"/>
      <c r="J830" s="13"/>
      <c r="K830" s="13"/>
      <c r="L830" s="13"/>
      <c r="M830" s="8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>
      <c r="A831" s="13"/>
      <c r="B831" s="13"/>
      <c r="C831" s="13"/>
      <c r="D831" s="13"/>
      <c r="E831" s="13"/>
      <c r="F831" s="78"/>
      <c r="G831" s="78"/>
      <c r="H831" s="13"/>
      <c r="I831" s="13"/>
      <c r="J831" s="13"/>
      <c r="K831" s="13"/>
      <c r="L831" s="13"/>
      <c r="M831" s="8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>
      <c r="A832" s="13"/>
      <c r="B832" s="13"/>
      <c r="C832" s="13"/>
      <c r="D832" s="13"/>
      <c r="E832" s="13"/>
      <c r="F832" s="78"/>
      <c r="G832" s="78"/>
      <c r="H832" s="13"/>
      <c r="I832" s="13"/>
      <c r="J832" s="13"/>
      <c r="K832" s="13"/>
      <c r="L832" s="13"/>
      <c r="M832" s="8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>
      <c r="A833" s="13"/>
      <c r="B833" s="13"/>
      <c r="C833" s="13"/>
      <c r="D833" s="13"/>
      <c r="E833" s="13"/>
      <c r="F833" s="78"/>
      <c r="G833" s="78"/>
      <c r="H833" s="13"/>
      <c r="I833" s="13"/>
      <c r="J833" s="13"/>
      <c r="K833" s="13"/>
      <c r="L833" s="13"/>
      <c r="M833" s="8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>
      <c r="A834" s="13"/>
      <c r="B834" s="13"/>
      <c r="C834" s="13"/>
      <c r="D834" s="13"/>
      <c r="E834" s="13"/>
      <c r="F834" s="78"/>
      <c r="G834" s="78"/>
      <c r="H834" s="13"/>
      <c r="I834" s="13"/>
      <c r="J834" s="13"/>
      <c r="K834" s="13"/>
      <c r="L834" s="13"/>
      <c r="M834" s="8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>
      <c r="A835" s="13"/>
      <c r="B835" s="13"/>
      <c r="C835" s="13"/>
      <c r="D835" s="13"/>
      <c r="E835" s="13"/>
      <c r="F835" s="78"/>
      <c r="G835" s="78"/>
      <c r="H835" s="13"/>
      <c r="I835" s="13"/>
      <c r="J835" s="13"/>
      <c r="K835" s="13"/>
      <c r="L835" s="13"/>
      <c r="M835" s="8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>
      <c r="A836" s="13"/>
      <c r="B836" s="13"/>
      <c r="C836" s="13"/>
      <c r="D836" s="13"/>
      <c r="E836" s="13"/>
      <c r="F836" s="78"/>
      <c r="G836" s="78"/>
      <c r="H836" s="13"/>
      <c r="I836" s="13"/>
      <c r="J836" s="13"/>
      <c r="K836" s="13"/>
      <c r="L836" s="13"/>
      <c r="M836" s="8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>
      <c r="A837" s="13"/>
      <c r="B837" s="13"/>
      <c r="C837" s="13"/>
      <c r="D837" s="13"/>
      <c r="E837" s="13"/>
      <c r="F837" s="78"/>
      <c r="G837" s="78"/>
      <c r="H837" s="13"/>
      <c r="I837" s="13"/>
      <c r="J837" s="13"/>
      <c r="K837" s="13"/>
      <c r="L837" s="13"/>
      <c r="M837" s="8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>
      <c r="A838" s="13"/>
      <c r="B838" s="13"/>
      <c r="C838" s="13"/>
      <c r="D838" s="13"/>
      <c r="E838" s="13"/>
      <c r="F838" s="78"/>
      <c r="G838" s="78"/>
      <c r="H838" s="13"/>
      <c r="I838" s="13"/>
      <c r="J838" s="13"/>
      <c r="K838" s="13"/>
      <c r="L838" s="13"/>
      <c r="M838" s="8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>
      <c r="A839" s="13"/>
      <c r="B839" s="13"/>
      <c r="C839" s="13"/>
      <c r="D839" s="13"/>
      <c r="E839" s="13"/>
      <c r="F839" s="78"/>
      <c r="G839" s="78"/>
      <c r="H839" s="13"/>
      <c r="I839" s="13"/>
      <c r="J839" s="13"/>
      <c r="K839" s="13"/>
      <c r="L839" s="13"/>
      <c r="M839" s="8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>
      <c r="A840" s="13"/>
      <c r="B840" s="13"/>
      <c r="C840" s="13"/>
      <c r="D840" s="13"/>
      <c r="E840" s="13"/>
      <c r="F840" s="78"/>
      <c r="G840" s="78"/>
      <c r="H840" s="13"/>
      <c r="I840" s="13"/>
      <c r="J840" s="13"/>
      <c r="K840" s="13"/>
      <c r="L840" s="13"/>
      <c r="M840" s="8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>
      <c r="A841" s="13"/>
      <c r="B841" s="13"/>
      <c r="C841" s="13"/>
      <c r="D841" s="13"/>
      <c r="E841" s="13"/>
      <c r="F841" s="78"/>
      <c r="G841" s="78"/>
      <c r="H841" s="13"/>
      <c r="I841" s="13"/>
      <c r="J841" s="13"/>
      <c r="K841" s="13"/>
      <c r="L841" s="13"/>
      <c r="M841" s="8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>
      <c r="A842" s="13"/>
      <c r="B842" s="13"/>
      <c r="C842" s="13"/>
      <c r="D842" s="13"/>
      <c r="E842" s="13"/>
      <c r="F842" s="78"/>
      <c r="G842" s="78"/>
      <c r="H842" s="13"/>
      <c r="I842" s="13"/>
      <c r="J842" s="13"/>
      <c r="K842" s="13"/>
      <c r="L842" s="13"/>
      <c r="M842" s="8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>
      <c r="A843" s="13"/>
      <c r="B843" s="13"/>
      <c r="C843" s="13"/>
      <c r="D843" s="13"/>
      <c r="E843" s="13"/>
      <c r="F843" s="78"/>
      <c r="G843" s="78"/>
      <c r="H843" s="13"/>
      <c r="I843" s="13"/>
      <c r="J843" s="13"/>
      <c r="K843" s="13"/>
      <c r="L843" s="13"/>
      <c r="M843" s="8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>
      <c r="A844" s="13"/>
      <c r="B844" s="13"/>
      <c r="C844" s="13"/>
      <c r="D844" s="13"/>
      <c r="E844" s="13"/>
      <c r="F844" s="78"/>
      <c r="G844" s="78"/>
      <c r="H844" s="13"/>
      <c r="I844" s="13"/>
      <c r="J844" s="13"/>
      <c r="K844" s="13"/>
      <c r="L844" s="13"/>
      <c r="M844" s="8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>
      <c r="A845" s="13"/>
      <c r="B845" s="13"/>
      <c r="C845" s="13"/>
      <c r="D845" s="13"/>
      <c r="E845" s="13"/>
      <c r="F845" s="78"/>
      <c r="G845" s="78"/>
      <c r="H845" s="13"/>
      <c r="I845" s="13"/>
      <c r="J845" s="13"/>
      <c r="K845" s="13"/>
      <c r="L845" s="13"/>
      <c r="M845" s="8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>
      <c r="A846" s="13"/>
      <c r="B846" s="13"/>
      <c r="C846" s="13"/>
      <c r="D846" s="13"/>
      <c r="E846" s="13"/>
      <c r="F846" s="78"/>
      <c r="G846" s="78"/>
      <c r="H846" s="13"/>
      <c r="I846" s="13"/>
      <c r="J846" s="13"/>
      <c r="K846" s="13"/>
      <c r="L846" s="13"/>
      <c r="M846" s="8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>
      <c r="A847" s="13"/>
      <c r="B847" s="13"/>
      <c r="C847" s="13"/>
      <c r="D847" s="13"/>
      <c r="E847" s="13"/>
      <c r="F847" s="78"/>
      <c r="G847" s="78"/>
      <c r="H847" s="13"/>
      <c r="I847" s="13"/>
      <c r="J847" s="13"/>
      <c r="K847" s="13"/>
      <c r="L847" s="13"/>
      <c r="M847" s="8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>
      <c r="A848" s="13"/>
      <c r="B848" s="13"/>
      <c r="C848" s="13"/>
      <c r="D848" s="13"/>
      <c r="E848" s="13"/>
      <c r="F848" s="78"/>
      <c r="G848" s="78"/>
      <c r="H848" s="13"/>
      <c r="I848" s="13"/>
      <c r="J848" s="13"/>
      <c r="K848" s="13"/>
      <c r="L848" s="13"/>
      <c r="M848" s="8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>
      <c r="A849" s="13"/>
      <c r="B849" s="13"/>
      <c r="C849" s="13"/>
      <c r="D849" s="13"/>
      <c r="E849" s="13"/>
      <c r="F849" s="78"/>
      <c r="G849" s="78"/>
      <c r="H849" s="13"/>
      <c r="I849" s="13"/>
      <c r="J849" s="13"/>
      <c r="K849" s="13"/>
      <c r="L849" s="13"/>
      <c r="M849" s="8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>
      <c r="A850" s="13"/>
      <c r="B850" s="13"/>
      <c r="C850" s="13"/>
      <c r="D850" s="13"/>
      <c r="E850" s="13"/>
      <c r="F850" s="78"/>
      <c r="G850" s="78"/>
      <c r="H850" s="13"/>
      <c r="I850" s="13"/>
      <c r="J850" s="13"/>
      <c r="K850" s="13"/>
      <c r="L850" s="13"/>
      <c r="M850" s="8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>
      <c r="A851" s="13"/>
      <c r="B851" s="13"/>
      <c r="C851" s="13"/>
      <c r="D851" s="13"/>
      <c r="E851" s="13"/>
      <c r="F851" s="78"/>
      <c r="G851" s="78"/>
      <c r="H851" s="13"/>
      <c r="I851" s="13"/>
      <c r="J851" s="13"/>
      <c r="K851" s="13"/>
      <c r="L851" s="13"/>
      <c r="M851" s="8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>
      <c r="A852" s="13"/>
      <c r="B852" s="13"/>
      <c r="C852" s="13"/>
      <c r="D852" s="13"/>
      <c r="E852" s="13"/>
      <c r="F852" s="78"/>
      <c r="G852" s="78"/>
      <c r="H852" s="13"/>
      <c r="I852" s="13"/>
      <c r="J852" s="13"/>
      <c r="K852" s="13"/>
      <c r="L852" s="13"/>
      <c r="M852" s="8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>
      <c r="A853" s="13"/>
      <c r="B853" s="13"/>
      <c r="C853" s="13"/>
      <c r="D853" s="13"/>
      <c r="E853" s="13"/>
      <c r="F853" s="78"/>
      <c r="G853" s="78"/>
      <c r="H853" s="13"/>
      <c r="I853" s="13"/>
      <c r="J853" s="13"/>
      <c r="K853" s="13"/>
      <c r="L853" s="13"/>
      <c r="M853" s="8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>
      <c r="A854" s="13"/>
      <c r="B854" s="13"/>
      <c r="C854" s="13"/>
      <c r="D854" s="13"/>
      <c r="E854" s="13"/>
      <c r="F854" s="78"/>
      <c r="G854" s="78"/>
      <c r="H854" s="13"/>
      <c r="I854" s="13"/>
      <c r="J854" s="13"/>
      <c r="K854" s="13"/>
      <c r="L854" s="13"/>
      <c r="M854" s="8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>
      <c r="A855" s="13"/>
      <c r="B855" s="13"/>
      <c r="C855" s="13"/>
      <c r="D855" s="13"/>
      <c r="E855" s="13"/>
      <c r="F855" s="78"/>
      <c r="G855" s="78"/>
      <c r="H855" s="13"/>
      <c r="I855" s="13"/>
      <c r="J855" s="13"/>
      <c r="K855" s="13"/>
      <c r="L855" s="13"/>
      <c r="M855" s="8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>
      <c r="A856" s="13"/>
      <c r="B856" s="13"/>
      <c r="C856" s="13"/>
      <c r="D856" s="13"/>
      <c r="E856" s="13"/>
      <c r="F856" s="78"/>
      <c r="G856" s="78"/>
      <c r="H856" s="13"/>
      <c r="I856" s="13"/>
      <c r="J856" s="13"/>
      <c r="K856" s="13"/>
      <c r="L856" s="13"/>
      <c r="M856" s="8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>
      <c r="A857" s="13"/>
      <c r="B857" s="13"/>
      <c r="C857" s="13"/>
      <c r="D857" s="13"/>
      <c r="E857" s="13"/>
      <c r="F857" s="78"/>
      <c r="G857" s="78"/>
      <c r="H857" s="13"/>
      <c r="I857" s="13"/>
      <c r="J857" s="13"/>
      <c r="K857" s="13"/>
      <c r="L857" s="13"/>
      <c r="M857" s="8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>
      <c r="A858" s="13"/>
      <c r="B858" s="13"/>
      <c r="C858" s="13"/>
      <c r="D858" s="13"/>
      <c r="E858" s="13"/>
      <c r="F858" s="78"/>
      <c r="G858" s="78"/>
      <c r="H858" s="13"/>
      <c r="I858" s="13"/>
      <c r="J858" s="13"/>
      <c r="K858" s="13"/>
      <c r="L858" s="13"/>
      <c r="M858" s="8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>
      <c r="A859" s="13"/>
      <c r="B859" s="13"/>
      <c r="C859" s="13"/>
      <c r="D859" s="13"/>
      <c r="E859" s="13"/>
      <c r="F859" s="78"/>
      <c r="G859" s="78"/>
      <c r="H859" s="13"/>
      <c r="I859" s="13"/>
      <c r="J859" s="13"/>
      <c r="K859" s="13"/>
      <c r="L859" s="13"/>
      <c r="M859" s="8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>
      <c r="A860" s="13"/>
      <c r="B860" s="13"/>
      <c r="C860" s="13"/>
      <c r="D860" s="13"/>
      <c r="E860" s="13"/>
      <c r="F860" s="78"/>
      <c r="G860" s="78"/>
      <c r="H860" s="13"/>
      <c r="I860" s="13"/>
      <c r="J860" s="13"/>
      <c r="K860" s="13"/>
      <c r="L860" s="13"/>
      <c r="M860" s="8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>
      <c r="A861" s="13"/>
      <c r="B861" s="13"/>
      <c r="C861" s="13"/>
      <c r="D861" s="13"/>
      <c r="E861" s="13"/>
      <c r="F861" s="78"/>
      <c r="G861" s="78"/>
      <c r="H861" s="13"/>
      <c r="I861" s="13"/>
      <c r="J861" s="13"/>
      <c r="K861" s="13"/>
      <c r="L861" s="13"/>
      <c r="M861" s="8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>
      <c r="A862" s="13"/>
      <c r="B862" s="13"/>
      <c r="C862" s="13"/>
      <c r="D862" s="13"/>
      <c r="E862" s="13"/>
      <c r="F862" s="78"/>
      <c r="G862" s="78"/>
      <c r="H862" s="13"/>
      <c r="I862" s="13"/>
      <c r="J862" s="13"/>
      <c r="K862" s="13"/>
      <c r="L862" s="13"/>
      <c r="M862" s="8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>
      <c r="A863" s="13"/>
      <c r="B863" s="13"/>
      <c r="C863" s="13"/>
      <c r="D863" s="13"/>
      <c r="E863" s="13"/>
      <c r="F863" s="78"/>
      <c r="G863" s="78"/>
      <c r="H863" s="13"/>
      <c r="I863" s="13"/>
      <c r="J863" s="13"/>
      <c r="K863" s="13"/>
      <c r="L863" s="13"/>
      <c r="M863" s="8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>
      <c r="A864" s="13"/>
      <c r="B864" s="13"/>
      <c r="C864" s="13"/>
      <c r="D864" s="13"/>
      <c r="E864" s="13"/>
      <c r="F864" s="78"/>
      <c r="G864" s="78"/>
      <c r="H864" s="13"/>
      <c r="I864" s="13"/>
      <c r="J864" s="13"/>
      <c r="K864" s="13"/>
      <c r="L864" s="13"/>
      <c r="M864" s="8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>
      <c r="A865" s="13"/>
      <c r="B865" s="13"/>
      <c r="C865" s="13"/>
      <c r="D865" s="13"/>
      <c r="E865" s="13"/>
      <c r="F865" s="78"/>
      <c r="G865" s="78"/>
      <c r="H865" s="13"/>
      <c r="I865" s="13"/>
      <c r="J865" s="13"/>
      <c r="K865" s="13"/>
      <c r="L865" s="13"/>
      <c r="M865" s="8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>
      <c r="A866" s="13"/>
      <c r="B866" s="13"/>
      <c r="C866" s="13"/>
      <c r="D866" s="13"/>
      <c r="E866" s="13"/>
      <c r="F866" s="78"/>
      <c r="G866" s="78"/>
      <c r="H866" s="13"/>
      <c r="I866" s="13"/>
      <c r="J866" s="13"/>
      <c r="K866" s="13"/>
      <c r="L866" s="13"/>
      <c r="M866" s="8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>
      <c r="A867" s="13"/>
      <c r="B867" s="13"/>
      <c r="C867" s="13"/>
      <c r="D867" s="13"/>
      <c r="E867" s="13"/>
      <c r="F867" s="78"/>
      <c r="G867" s="78"/>
      <c r="H867" s="13"/>
      <c r="I867" s="13"/>
      <c r="J867" s="13"/>
      <c r="K867" s="13"/>
      <c r="L867" s="13"/>
      <c r="M867" s="8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>
      <c r="A868" s="13"/>
      <c r="B868" s="13"/>
      <c r="C868" s="13"/>
      <c r="D868" s="13"/>
      <c r="E868" s="13"/>
      <c r="F868" s="78"/>
      <c r="G868" s="78"/>
      <c r="H868" s="13"/>
      <c r="I868" s="13"/>
      <c r="J868" s="13"/>
      <c r="K868" s="13"/>
      <c r="L868" s="13"/>
      <c r="M868" s="8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>
      <c r="A869" s="13"/>
      <c r="B869" s="13"/>
      <c r="C869" s="13"/>
      <c r="D869" s="13"/>
      <c r="E869" s="13"/>
      <c r="F869" s="78"/>
      <c r="G869" s="78"/>
      <c r="H869" s="13"/>
      <c r="I869" s="13"/>
      <c r="J869" s="13"/>
      <c r="K869" s="13"/>
      <c r="L869" s="13"/>
      <c r="M869" s="8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>
      <c r="A870" s="13"/>
      <c r="B870" s="13"/>
      <c r="C870" s="13"/>
      <c r="D870" s="13"/>
      <c r="E870" s="13"/>
      <c r="F870" s="78"/>
      <c r="G870" s="78"/>
      <c r="H870" s="13"/>
      <c r="I870" s="13"/>
      <c r="J870" s="13"/>
      <c r="K870" s="13"/>
      <c r="L870" s="13"/>
      <c r="M870" s="8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>
      <c r="A871" s="13"/>
      <c r="B871" s="13"/>
      <c r="C871" s="13"/>
      <c r="D871" s="13"/>
      <c r="E871" s="13"/>
      <c r="F871" s="78"/>
      <c r="G871" s="78"/>
      <c r="H871" s="13"/>
      <c r="I871" s="13"/>
      <c r="J871" s="13"/>
      <c r="K871" s="13"/>
      <c r="L871" s="13"/>
      <c r="M871" s="8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>
      <c r="A872" s="13"/>
      <c r="B872" s="13"/>
      <c r="C872" s="13"/>
      <c r="D872" s="13"/>
      <c r="E872" s="13"/>
      <c r="F872" s="78"/>
      <c r="G872" s="78"/>
      <c r="H872" s="13"/>
      <c r="I872" s="13"/>
      <c r="J872" s="13"/>
      <c r="K872" s="13"/>
      <c r="L872" s="13"/>
      <c r="M872" s="8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>
      <c r="A873" s="13"/>
      <c r="B873" s="13"/>
      <c r="C873" s="13"/>
      <c r="D873" s="13"/>
      <c r="E873" s="13"/>
      <c r="F873" s="78"/>
      <c r="G873" s="78"/>
      <c r="H873" s="13"/>
      <c r="I873" s="13"/>
      <c r="J873" s="13"/>
      <c r="K873" s="13"/>
      <c r="L873" s="13"/>
      <c r="M873" s="8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>
      <c r="A874" s="13"/>
      <c r="B874" s="13"/>
      <c r="C874" s="13"/>
      <c r="D874" s="13"/>
      <c r="E874" s="13"/>
      <c r="F874" s="78"/>
      <c r="G874" s="78"/>
      <c r="H874" s="13"/>
      <c r="I874" s="13"/>
      <c r="J874" s="13"/>
      <c r="K874" s="13"/>
      <c r="L874" s="13"/>
      <c r="M874" s="8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>
      <c r="A875" s="13"/>
      <c r="B875" s="13"/>
      <c r="C875" s="13"/>
      <c r="D875" s="13"/>
      <c r="E875" s="13"/>
      <c r="F875" s="78"/>
      <c r="G875" s="78"/>
      <c r="H875" s="13"/>
      <c r="I875" s="13"/>
      <c r="J875" s="13"/>
      <c r="K875" s="13"/>
      <c r="L875" s="13"/>
      <c r="M875" s="8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>
      <c r="A876" s="13"/>
      <c r="B876" s="13"/>
      <c r="C876" s="13"/>
      <c r="D876" s="13"/>
      <c r="E876" s="13"/>
      <c r="F876" s="78"/>
      <c r="G876" s="78"/>
      <c r="H876" s="13"/>
      <c r="I876" s="13"/>
      <c r="J876" s="13"/>
      <c r="K876" s="13"/>
      <c r="L876" s="13"/>
      <c r="M876" s="8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>
      <c r="A877" s="13"/>
      <c r="B877" s="13"/>
      <c r="C877" s="13"/>
      <c r="D877" s="13"/>
      <c r="E877" s="13"/>
      <c r="F877" s="78"/>
      <c r="G877" s="78"/>
      <c r="H877" s="13"/>
      <c r="I877" s="13"/>
      <c r="J877" s="13"/>
      <c r="K877" s="13"/>
      <c r="L877" s="13"/>
      <c r="M877" s="8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>
      <c r="A878" s="13"/>
      <c r="B878" s="13"/>
      <c r="C878" s="13"/>
      <c r="D878" s="13"/>
      <c r="E878" s="13"/>
      <c r="F878" s="78"/>
      <c r="G878" s="78"/>
      <c r="H878" s="13"/>
      <c r="I878" s="13"/>
      <c r="J878" s="13"/>
      <c r="K878" s="13"/>
      <c r="L878" s="13"/>
      <c r="M878" s="8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>
      <c r="A879" s="13"/>
      <c r="B879" s="13"/>
      <c r="C879" s="13"/>
      <c r="D879" s="13"/>
      <c r="E879" s="13"/>
      <c r="F879" s="78"/>
      <c r="G879" s="78"/>
      <c r="H879" s="13"/>
      <c r="I879" s="13"/>
      <c r="J879" s="13"/>
      <c r="K879" s="13"/>
      <c r="L879" s="13"/>
      <c r="M879" s="8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>
      <c r="A880" s="13"/>
      <c r="B880" s="13"/>
      <c r="C880" s="13"/>
      <c r="D880" s="13"/>
      <c r="E880" s="13"/>
      <c r="F880" s="78"/>
      <c r="G880" s="78"/>
      <c r="H880" s="13"/>
      <c r="I880" s="13"/>
      <c r="J880" s="13"/>
      <c r="K880" s="13"/>
      <c r="L880" s="13"/>
      <c r="M880" s="8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>
      <c r="A881" s="13"/>
      <c r="B881" s="13"/>
      <c r="C881" s="13"/>
      <c r="D881" s="13"/>
      <c r="E881" s="13"/>
      <c r="F881" s="78"/>
      <c r="G881" s="78"/>
      <c r="H881" s="13"/>
      <c r="I881" s="13"/>
      <c r="J881" s="13"/>
      <c r="K881" s="13"/>
      <c r="L881" s="13"/>
      <c r="M881" s="8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>
      <c r="A882" s="13"/>
      <c r="B882" s="13"/>
      <c r="C882" s="13"/>
      <c r="D882" s="13"/>
      <c r="E882" s="13"/>
      <c r="F882" s="78"/>
      <c r="G882" s="78"/>
      <c r="H882" s="13"/>
      <c r="I882" s="13"/>
      <c r="J882" s="13"/>
      <c r="K882" s="13"/>
      <c r="L882" s="13"/>
      <c r="M882" s="8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>
      <c r="A883" s="13"/>
      <c r="B883" s="13"/>
      <c r="C883" s="13"/>
      <c r="D883" s="13"/>
      <c r="E883" s="13"/>
      <c r="F883" s="78"/>
      <c r="G883" s="78"/>
      <c r="H883" s="13"/>
      <c r="I883" s="13"/>
      <c r="J883" s="13"/>
      <c r="K883" s="13"/>
      <c r="L883" s="13"/>
      <c r="M883" s="8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>
      <c r="A884" s="13"/>
      <c r="B884" s="13"/>
      <c r="C884" s="13"/>
      <c r="D884" s="13"/>
      <c r="E884" s="13"/>
      <c r="F884" s="78"/>
      <c r="G884" s="78"/>
      <c r="H884" s="13"/>
      <c r="I884" s="13"/>
      <c r="J884" s="13"/>
      <c r="K884" s="13"/>
      <c r="L884" s="13"/>
      <c r="M884" s="8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>
      <c r="A885" s="13"/>
      <c r="B885" s="13"/>
      <c r="C885" s="13"/>
      <c r="D885" s="13"/>
      <c r="E885" s="13"/>
      <c r="F885" s="78"/>
      <c r="G885" s="78"/>
      <c r="H885" s="13"/>
      <c r="I885" s="13"/>
      <c r="J885" s="13"/>
      <c r="K885" s="13"/>
      <c r="L885" s="13"/>
      <c r="M885" s="8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>
      <c r="A886" s="13"/>
      <c r="B886" s="13"/>
      <c r="C886" s="13"/>
      <c r="D886" s="13"/>
      <c r="E886" s="13"/>
      <c r="F886" s="78"/>
      <c r="G886" s="78"/>
      <c r="H886" s="13"/>
      <c r="I886" s="13"/>
      <c r="J886" s="13"/>
      <c r="K886" s="13"/>
      <c r="L886" s="13"/>
      <c r="M886" s="8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>
      <c r="A887" s="13"/>
      <c r="B887" s="13"/>
      <c r="C887" s="13"/>
      <c r="D887" s="13"/>
      <c r="E887" s="13"/>
      <c r="F887" s="78"/>
      <c r="G887" s="78"/>
      <c r="H887" s="13"/>
      <c r="I887" s="13"/>
      <c r="J887" s="13"/>
      <c r="K887" s="13"/>
      <c r="L887" s="13"/>
      <c r="M887" s="8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>
      <c r="A888" s="13"/>
      <c r="B888" s="13"/>
      <c r="C888" s="13"/>
      <c r="D888" s="13"/>
      <c r="E888" s="13"/>
      <c r="F888" s="78"/>
      <c r="G888" s="78"/>
      <c r="H888" s="13"/>
      <c r="I888" s="13"/>
      <c r="J888" s="13"/>
      <c r="K888" s="13"/>
      <c r="L888" s="13"/>
      <c r="M888" s="8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>
      <c r="A889" s="13"/>
      <c r="B889" s="13"/>
      <c r="C889" s="13"/>
      <c r="D889" s="13"/>
      <c r="E889" s="13"/>
      <c r="F889" s="78"/>
      <c r="G889" s="78"/>
      <c r="H889" s="13"/>
      <c r="I889" s="13"/>
      <c r="J889" s="13"/>
      <c r="K889" s="13"/>
      <c r="L889" s="13"/>
      <c r="M889" s="8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>
      <c r="A890" s="13"/>
      <c r="B890" s="13"/>
      <c r="C890" s="13"/>
      <c r="D890" s="13"/>
      <c r="E890" s="13"/>
      <c r="F890" s="78"/>
      <c r="G890" s="78"/>
      <c r="H890" s="13"/>
      <c r="I890" s="13"/>
      <c r="J890" s="13"/>
      <c r="K890" s="13"/>
      <c r="L890" s="13"/>
      <c r="M890" s="8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>
      <c r="A891" s="13"/>
      <c r="B891" s="13"/>
      <c r="C891" s="13"/>
      <c r="D891" s="13"/>
      <c r="E891" s="13"/>
      <c r="F891" s="78"/>
      <c r="G891" s="78"/>
      <c r="H891" s="13"/>
      <c r="I891" s="13"/>
      <c r="J891" s="13"/>
      <c r="K891" s="13"/>
      <c r="L891" s="13"/>
      <c r="M891" s="8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>
      <c r="A892" s="13"/>
      <c r="B892" s="13"/>
      <c r="C892" s="13"/>
      <c r="D892" s="13"/>
      <c r="E892" s="13"/>
      <c r="F892" s="78"/>
      <c r="G892" s="78"/>
      <c r="H892" s="13"/>
      <c r="I892" s="13"/>
      <c r="J892" s="13"/>
      <c r="K892" s="13"/>
      <c r="L892" s="13"/>
      <c r="M892" s="8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>
      <c r="A893" s="13"/>
      <c r="B893" s="13"/>
      <c r="C893" s="13"/>
      <c r="D893" s="13"/>
      <c r="E893" s="13"/>
      <c r="F893" s="78"/>
      <c r="G893" s="78"/>
      <c r="H893" s="13"/>
      <c r="I893" s="13"/>
      <c r="J893" s="13"/>
      <c r="K893" s="13"/>
      <c r="L893" s="13"/>
      <c r="M893" s="8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>
      <c r="A894" s="13"/>
      <c r="B894" s="13"/>
      <c r="C894" s="13"/>
      <c r="D894" s="13"/>
      <c r="E894" s="13"/>
      <c r="F894" s="78"/>
      <c r="G894" s="78"/>
      <c r="H894" s="13"/>
      <c r="I894" s="13"/>
      <c r="J894" s="13"/>
      <c r="K894" s="13"/>
      <c r="L894" s="13"/>
      <c r="M894" s="8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>
      <c r="A895" s="13"/>
      <c r="B895" s="13"/>
      <c r="C895" s="13"/>
      <c r="D895" s="13"/>
      <c r="E895" s="13"/>
      <c r="F895" s="78"/>
      <c r="G895" s="78"/>
      <c r="H895" s="13"/>
      <c r="I895" s="13"/>
      <c r="J895" s="13"/>
      <c r="K895" s="13"/>
      <c r="L895" s="13"/>
      <c r="M895" s="8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>
      <c r="A896" s="13"/>
      <c r="B896" s="13"/>
      <c r="C896" s="13"/>
      <c r="D896" s="13"/>
      <c r="E896" s="13"/>
      <c r="F896" s="78"/>
      <c r="G896" s="78"/>
      <c r="H896" s="13"/>
      <c r="I896" s="13"/>
      <c r="J896" s="13"/>
      <c r="K896" s="13"/>
      <c r="L896" s="13"/>
      <c r="M896" s="8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>
      <c r="A897" s="13"/>
      <c r="B897" s="13"/>
      <c r="C897" s="13"/>
      <c r="D897" s="13"/>
      <c r="E897" s="13"/>
      <c r="F897" s="78"/>
      <c r="G897" s="78"/>
      <c r="H897" s="13"/>
      <c r="I897" s="13"/>
      <c r="J897" s="13"/>
      <c r="K897" s="13"/>
      <c r="L897" s="13"/>
      <c r="M897" s="8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>
      <c r="A898" s="13"/>
      <c r="B898" s="13"/>
      <c r="C898" s="13"/>
      <c r="D898" s="13"/>
      <c r="E898" s="13"/>
      <c r="F898" s="78"/>
      <c r="G898" s="78"/>
      <c r="H898" s="13"/>
      <c r="I898" s="13"/>
      <c r="J898" s="13"/>
      <c r="K898" s="13"/>
      <c r="L898" s="13"/>
      <c r="M898" s="8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>
      <c r="A899" s="13"/>
      <c r="B899" s="13"/>
      <c r="C899" s="13"/>
      <c r="D899" s="13"/>
      <c r="E899" s="13"/>
      <c r="F899" s="78"/>
      <c r="G899" s="78"/>
      <c r="H899" s="13"/>
      <c r="I899" s="13"/>
      <c r="J899" s="13"/>
      <c r="K899" s="13"/>
      <c r="L899" s="13"/>
      <c r="M899" s="8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>
      <c r="A900" s="13"/>
      <c r="B900" s="13"/>
      <c r="C900" s="13"/>
      <c r="D900" s="13"/>
      <c r="E900" s="13"/>
      <c r="F900" s="78"/>
      <c r="G900" s="78"/>
      <c r="H900" s="13"/>
      <c r="I900" s="13"/>
      <c r="J900" s="13"/>
      <c r="K900" s="13"/>
      <c r="L900" s="13"/>
      <c r="M900" s="8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>
      <c r="A901" s="13"/>
      <c r="B901" s="13"/>
      <c r="C901" s="13"/>
      <c r="D901" s="13"/>
      <c r="E901" s="13"/>
      <c r="F901" s="78"/>
      <c r="G901" s="78"/>
      <c r="H901" s="13"/>
      <c r="I901" s="13"/>
      <c r="J901" s="13"/>
      <c r="K901" s="13"/>
      <c r="L901" s="13"/>
      <c r="M901" s="8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>
      <c r="A902" s="13"/>
      <c r="B902" s="13"/>
      <c r="C902" s="13"/>
      <c r="D902" s="13"/>
      <c r="E902" s="13"/>
      <c r="F902" s="78"/>
      <c r="G902" s="78"/>
      <c r="H902" s="13"/>
      <c r="I902" s="13"/>
      <c r="J902" s="13"/>
      <c r="K902" s="13"/>
      <c r="L902" s="13"/>
      <c r="M902" s="8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>
      <c r="A903" s="13"/>
      <c r="B903" s="13"/>
      <c r="C903" s="13"/>
      <c r="D903" s="13"/>
      <c r="E903" s="13"/>
      <c r="F903" s="78"/>
      <c r="G903" s="78"/>
      <c r="H903" s="13"/>
      <c r="I903" s="13"/>
      <c r="J903" s="13"/>
      <c r="K903" s="13"/>
      <c r="L903" s="13"/>
      <c r="M903" s="8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>
      <c r="A904" s="13"/>
      <c r="B904" s="13"/>
      <c r="C904" s="13"/>
      <c r="D904" s="13"/>
      <c r="E904" s="13"/>
      <c r="F904" s="78"/>
      <c r="G904" s="78"/>
      <c r="H904" s="13"/>
      <c r="I904" s="13"/>
      <c r="J904" s="13"/>
      <c r="K904" s="13"/>
      <c r="L904" s="13"/>
      <c r="M904" s="8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>
      <c r="A905" s="13"/>
      <c r="B905" s="13"/>
      <c r="C905" s="13"/>
      <c r="D905" s="13"/>
      <c r="E905" s="13"/>
      <c r="F905" s="78"/>
      <c r="G905" s="78"/>
      <c r="H905" s="13"/>
      <c r="I905" s="13"/>
      <c r="J905" s="13"/>
      <c r="K905" s="13"/>
      <c r="L905" s="13"/>
      <c r="M905" s="8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>
      <c r="A906" s="13"/>
      <c r="B906" s="13"/>
      <c r="C906" s="13"/>
      <c r="D906" s="13"/>
      <c r="E906" s="13"/>
      <c r="F906" s="78"/>
      <c r="G906" s="78"/>
      <c r="H906" s="13"/>
      <c r="I906" s="13"/>
      <c r="J906" s="13"/>
      <c r="K906" s="13"/>
      <c r="L906" s="13"/>
      <c r="M906" s="8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>
      <c r="A907" s="13"/>
      <c r="B907" s="13"/>
      <c r="C907" s="13"/>
      <c r="D907" s="13"/>
      <c r="E907" s="13"/>
      <c r="F907" s="78"/>
      <c r="G907" s="78"/>
      <c r="H907" s="13"/>
      <c r="I907" s="13"/>
      <c r="J907" s="13"/>
      <c r="K907" s="13"/>
      <c r="L907" s="13"/>
      <c r="M907" s="8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>
      <c r="A908" s="13"/>
      <c r="B908" s="13"/>
      <c r="C908" s="13"/>
      <c r="D908" s="13"/>
      <c r="E908" s="13"/>
      <c r="F908" s="78"/>
      <c r="G908" s="78"/>
      <c r="H908" s="13"/>
      <c r="I908" s="13"/>
      <c r="J908" s="13"/>
      <c r="K908" s="13"/>
      <c r="L908" s="13"/>
      <c r="M908" s="8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>
      <c r="A909" s="13"/>
      <c r="B909" s="13"/>
      <c r="C909" s="13"/>
      <c r="D909" s="13"/>
      <c r="E909" s="13"/>
      <c r="F909" s="78"/>
      <c r="G909" s="78"/>
      <c r="H909" s="13"/>
      <c r="I909" s="13"/>
      <c r="J909" s="13"/>
      <c r="K909" s="13"/>
      <c r="L909" s="13"/>
      <c r="M909" s="8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>
      <c r="A910" s="13"/>
      <c r="B910" s="13"/>
      <c r="C910" s="13"/>
      <c r="D910" s="13"/>
      <c r="E910" s="13"/>
      <c r="F910" s="78"/>
      <c r="G910" s="78"/>
      <c r="H910" s="13"/>
      <c r="I910" s="13"/>
      <c r="J910" s="13"/>
      <c r="K910" s="13"/>
      <c r="L910" s="13"/>
      <c r="M910" s="8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>
      <c r="A911" s="13"/>
      <c r="B911" s="13"/>
      <c r="C911" s="13"/>
      <c r="D911" s="13"/>
      <c r="E911" s="13"/>
      <c r="F911" s="78"/>
      <c r="G911" s="78"/>
      <c r="H911" s="13"/>
      <c r="I911" s="13"/>
      <c r="J911" s="13"/>
      <c r="K911" s="13"/>
      <c r="L911" s="13"/>
      <c r="M911" s="8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>
      <c r="A912" s="13"/>
      <c r="B912" s="13"/>
      <c r="C912" s="13"/>
      <c r="D912" s="13"/>
      <c r="E912" s="13"/>
      <c r="F912" s="78"/>
      <c r="G912" s="78"/>
      <c r="H912" s="13"/>
      <c r="I912" s="13"/>
      <c r="J912" s="13"/>
      <c r="K912" s="13"/>
      <c r="L912" s="13"/>
      <c r="M912" s="8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>
      <c r="A913" s="13"/>
      <c r="B913" s="13"/>
      <c r="C913" s="13"/>
      <c r="D913" s="13"/>
      <c r="E913" s="13"/>
      <c r="F913" s="78"/>
      <c r="G913" s="78"/>
      <c r="H913" s="13"/>
      <c r="I913" s="13"/>
      <c r="J913" s="13"/>
      <c r="K913" s="13"/>
      <c r="L913" s="13"/>
      <c r="M913" s="8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>
      <c r="A914" s="13"/>
      <c r="B914" s="13"/>
      <c r="C914" s="13"/>
      <c r="D914" s="13"/>
      <c r="E914" s="13"/>
      <c r="F914" s="78"/>
      <c r="G914" s="78"/>
      <c r="H914" s="13"/>
      <c r="I914" s="13"/>
      <c r="J914" s="13"/>
      <c r="K914" s="13"/>
      <c r="L914" s="13"/>
      <c r="M914" s="8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>
      <c r="A915" s="13"/>
      <c r="B915" s="13"/>
      <c r="C915" s="13"/>
      <c r="D915" s="13"/>
      <c r="E915" s="13"/>
      <c r="F915" s="78"/>
      <c r="G915" s="78"/>
      <c r="H915" s="13"/>
      <c r="I915" s="13"/>
      <c r="J915" s="13"/>
      <c r="K915" s="13"/>
      <c r="L915" s="13"/>
      <c r="M915" s="8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>
      <c r="A916" s="13"/>
      <c r="B916" s="13"/>
      <c r="C916" s="13"/>
      <c r="D916" s="13"/>
      <c r="E916" s="13"/>
      <c r="F916" s="78"/>
      <c r="G916" s="78"/>
      <c r="H916" s="13"/>
      <c r="I916" s="13"/>
      <c r="J916" s="13"/>
      <c r="K916" s="13"/>
      <c r="L916" s="13"/>
      <c r="M916" s="8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>
      <c r="A917" s="13"/>
      <c r="B917" s="13"/>
      <c r="C917" s="13"/>
      <c r="D917" s="13"/>
      <c r="E917" s="13"/>
      <c r="F917" s="78"/>
      <c r="G917" s="78"/>
      <c r="H917" s="13"/>
      <c r="I917" s="13"/>
      <c r="J917" s="13"/>
      <c r="K917" s="13"/>
      <c r="L917" s="13"/>
      <c r="M917" s="8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>
      <c r="A918" s="13"/>
      <c r="B918" s="13"/>
      <c r="C918" s="13"/>
      <c r="D918" s="13"/>
      <c r="E918" s="13"/>
      <c r="F918" s="78"/>
      <c r="G918" s="78"/>
      <c r="H918" s="13"/>
      <c r="I918" s="13"/>
      <c r="J918" s="13"/>
      <c r="K918" s="13"/>
      <c r="L918" s="13"/>
      <c r="M918" s="8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>
      <c r="A919" s="13"/>
      <c r="B919" s="13"/>
      <c r="C919" s="13"/>
      <c r="D919" s="13"/>
      <c r="E919" s="13"/>
      <c r="F919" s="78"/>
      <c r="G919" s="78"/>
      <c r="H919" s="13"/>
      <c r="I919" s="13"/>
      <c r="J919" s="13"/>
      <c r="K919" s="13"/>
      <c r="L919" s="13"/>
      <c r="M919" s="8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>
      <c r="A920" s="13"/>
      <c r="B920" s="13"/>
      <c r="C920" s="13"/>
      <c r="D920" s="13"/>
      <c r="E920" s="13"/>
      <c r="F920" s="78"/>
      <c r="G920" s="78"/>
      <c r="H920" s="13"/>
      <c r="I920" s="13"/>
      <c r="J920" s="13"/>
      <c r="K920" s="13"/>
      <c r="L920" s="13"/>
      <c r="M920" s="8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>
      <c r="A921" s="13"/>
      <c r="B921" s="13"/>
      <c r="C921" s="13"/>
      <c r="D921" s="13"/>
      <c r="E921" s="13"/>
      <c r="F921" s="78"/>
      <c r="G921" s="78"/>
      <c r="H921" s="13"/>
      <c r="I921" s="13"/>
      <c r="J921" s="13"/>
      <c r="K921" s="13"/>
      <c r="L921" s="13"/>
      <c r="M921" s="8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>
      <c r="A922" s="13"/>
      <c r="B922" s="13"/>
      <c r="C922" s="13"/>
      <c r="D922" s="13"/>
      <c r="E922" s="13"/>
      <c r="F922" s="78"/>
      <c r="G922" s="78"/>
      <c r="H922" s="13"/>
      <c r="I922" s="13"/>
      <c r="J922" s="13"/>
      <c r="K922" s="13"/>
      <c r="L922" s="13"/>
      <c r="M922" s="8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>
      <c r="A923" s="13"/>
      <c r="B923" s="13"/>
      <c r="C923" s="13"/>
      <c r="D923" s="13"/>
      <c r="E923" s="13"/>
      <c r="F923" s="78"/>
      <c r="G923" s="78"/>
      <c r="H923" s="13"/>
      <c r="I923" s="13"/>
      <c r="J923" s="13"/>
      <c r="K923" s="13"/>
      <c r="L923" s="13"/>
      <c r="M923" s="8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>
      <c r="A924" s="13"/>
      <c r="B924" s="13"/>
      <c r="C924" s="13"/>
      <c r="D924" s="13"/>
      <c r="E924" s="13"/>
      <c r="F924" s="78"/>
      <c r="G924" s="78"/>
      <c r="H924" s="13"/>
      <c r="I924" s="13"/>
      <c r="J924" s="13"/>
      <c r="K924" s="13"/>
      <c r="L924" s="13"/>
      <c r="M924" s="8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>
      <c r="A925" s="13"/>
      <c r="B925" s="13"/>
      <c r="C925" s="13"/>
      <c r="D925" s="13"/>
      <c r="E925" s="13"/>
      <c r="F925" s="78"/>
      <c r="G925" s="78"/>
      <c r="H925" s="13"/>
      <c r="I925" s="13"/>
      <c r="J925" s="13"/>
      <c r="K925" s="13"/>
      <c r="L925" s="13"/>
      <c r="M925" s="8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>
      <c r="A926" s="13"/>
      <c r="B926" s="13"/>
      <c r="C926" s="13"/>
      <c r="D926" s="13"/>
      <c r="E926" s="13"/>
      <c r="F926" s="78"/>
      <c r="G926" s="78"/>
      <c r="H926" s="13"/>
      <c r="I926" s="13"/>
      <c r="J926" s="13"/>
      <c r="K926" s="13"/>
      <c r="L926" s="13"/>
      <c r="M926" s="8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>
      <c r="A927" s="13"/>
      <c r="B927" s="13"/>
      <c r="C927" s="13"/>
      <c r="D927" s="13"/>
      <c r="E927" s="13"/>
      <c r="F927" s="78"/>
      <c r="G927" s="78"/>
      <c r="H927" s="13"/>
      <c r="I927" s="13"/>
      <c r="J927" s="13"/>
      <c r="K927" s="13"/>
      <c r="L927" s="13"/>
      <c r="M927" s="8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>
      <c r="A928" s="13"/>
      <c r="B928" s="13"/>
      <c r="C928" s="13"/>
      <c r="D928" s="13"/>
      <c r="E928" s="13"/>
      <c r="F928" s="78"/>
      <c r="G928" s="78"/>
      <c r="H928" s="13"/>
      <c r="I928" s="13"/>
      <c r="J928" s="13"/>
      <c r="K928" s="13"/>
      <c r="L928" s="13"/>
      <c r="M928" s="8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>
      <c r="A929" s="13"/>
      <c r="B929" s="13"/>
      <c r="C929" s="13"/>
      <c r="D929" s="13"/>
      <c r="E929" s="13"/>
      <c r="F929" s="78"/>
      <c r="G929" s="78"/>
      <c r="H929" s="13"/>
      <c r="I929" s="13"/>
      <c r="J929" s="13"/>
      <c r="K929" s="13"/>
      <c r="L929" s="13"/>
      <c r="M929" s="8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>
      <c r="A930" s="13"/>
      <c r="B930" s="13"/>
      <c r="C930" s="13"/>
      <c r="D930" s="13"/>
      <c r="E930" s="13"/>
      <c r="F930" s="78"/>
      <c r="G930" s="78"/>
      <c r="H930" s="13"/>
      <c r="I930" s="13"/>
      <c r="J930" s="13"/>
      <c r="K930" s="13"/>
      <c r="L930" s="13"/>
      <c r="M930" s="8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>
      <c r="A931" s="13"/>
      <c r="B931" s="13"/>
      <c r="C931" s="13"/>
      <c r="D931" s="13"/>
      <c r="E931" s="13"/>
      <c r="F931" s="78"/>
      <c r="G931" s="78"/>
      <c r="H931" s="13"/>
      <c r="I931" s="13"/>
      <c r="J931" s="13"/>
      <c r="K931" s="13"/>
      <c r="L931" s="13"/>
      <c r="M931" s="8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>
      <c r="A932" s="13"/>
      <c r="B932" s="13"/>
      <c r="C932" s="13"/>
      <c r="D932" s="13"/>
      <c r="E932" s="13"/>
      <c r="F932" s="78"/>
      <c r="G932" s="78"/>
      <c r="H932" s="13"/>
      <c r="I932" s="13"/>
      <c r="J932" s="13"/>
      <c r="K932" s="13"/>
      <c r="L932" s="13"/>
      <c r="M932" s="8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>
      <c r="A933" s="13"/>
      <c r="B933" s="13"/>
      <c r="C933" s="13"/>
      <c r="D933" s="13"/>
      <c r="E933" s="13"/>
      <c r="F933" s="78"/>
      <c r="G933" s="78"/>
      <c r="H933" s="13"/>
      <c r="I933" s="13"/>
      <c r="J933" s="13"/>
      <c r="K933" s="13"/>
      <c r="L933" s="13"/>
      <c r="M933" s="8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>
      <c r="A934" s="13"/>
      <c r="B934" s="13"/>
      <c r="C934" s="13"/>
      <c r="D934" s="13"/>
      <c r="E934" s="13"/>
      <c r="F934" s="78"/>
      <c r="G934" s="78"/>
      <c r="H934" s="13"/>
      <c r="I934" s="13"/>
      <c r="J934" s="13"/>
      <c r="K934" s="13"/>
      <c r="L934" s="13"/>
      <c r="M934" s="8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>
      <c r="A935" s="13"/>
      <c r="B935" s="13"/>
      <c r="C935" s="13"/>
      <c r="D935" s="13"/>
      <c r="E935" s="13"/>
      <c r="F935" s="78"/>
      <c r="G935" s="78"/>
      <c r="H935" s="13"/>
      <c r="I935" s="13"/>
      <c r="J935" s="13"/>
      <c r="K935" s="13"/>
      <c r="L935" s="13"/>
      <c r="M935" s="8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>
      <c r="A936" s="13"/>
      <c r="B936" s="13"/>
      <c r="C936" s="13"/>
      <c r="D936" s="13"/>
      <c r="E936" s="13"/>
      <c r="F936" s="78"/>
      <c r="G936" s="78"/>
      <c r="H936" s="13"/>
      <c r="I936" s="13"/>
      <c r="J936" s="13"/>
      <c r="K936" s="13"/>
      <c r="L936" s="13"/>
      <c r="M936" s="8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>
      <c r="A937" s="13"/>
      <c r="B937" s="13"/>
      <c r="C937" s="13"/>
      <c r="D937" s="13"/>
      <c r="E937" s="13"/>
      <c r="F937" s="78"/>
      <c r="G937" s="78"/>
      <c r="H937" s="13"/>
      <c r="I937" s="13"/>
      <c r="J937" s="13"/>
      <c r="K937" s="13"/>
      <c r="L937" s="13"/>
      <c r="M937" s="8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>
      <c r="A938" s="13"/>
      <c r="B938" s="13"/>
      <c r="C938" s="13"/>
      <c r="D938" s="13"/>
      <c r="E938" s="13"/>
      <c r="F938" s="78"/>
      <c r="G938" s="78"/>
      <c r="H938" s="13"/>
      <c r="I938" s="13"/>
      <c r="J938" s="13"/>
      <c r="K938" s="13"/>
      <c r="L938" s="13"/>
      <c r="M938" s="8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>
      <c r="A939" s="13"/>
      <c r="B939" s="13"/>
      <c r="C939" s="13"/>
      <c r="D939" s="13"/>
      <c r="E939" s="13"/>
      <c r="F939" s="78"/>
      <c r="G939" s="78"/>
      <c r="H939" s="13"/>
      <c r="I939" s="13"/>
      <c r="J939" s="13"/>
      <c r="K939" s="13"/>
      <c r="L939" s="13"/>
      <c r="M939" s="8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>
      <c r="A940" s="13"/>
      <c r="B940" s="13"/>
      <c r="C940" s="13"/>
      <c r="D940" s="13"/>
      <c r="E940" s="13"/>
      <c r="F940" s="78"/>
      <c r="G940" s="78"/>
      <c r="H940" s="13"/>
      <c r="I940" s="13"/>
      <c r="J940" s="13"/>
      <c r="K940" s="13"/>
      <c r="L940" s="13"/>
      <c r="M940" s="8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>
      <c r="A941" s="13"/>
      <c r="B941" s="13"/>
      <c r="C941" s="13"/>
      <c r="D941" s="13"/>
      <c r="E941" s="13"/>
      <c r="F941" s="78"/>
      <c r="G941" s="78"/>
      <c r="H941" s="13"/>
      <c r="I941" s="13"/>
      <c r="J941" s="13"/>
      <c r="K941" s="13"/>
      <c r="L941" s="13"/>
      <c r="M941" s="8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>
      <c r="A942" s="13"/>
      <c r="B942" s="13"/>
      <c r="C942" s="13"/>
      <c r="D942" s="13"/>
      <c r="E942" s="13"/>
      <c r="F942" s="78"/>
      <c r="G942" s="78"/>
      <c r="H942" s="13"/>
      <c r="I942" s="13"/>
      <c r="J942" s="13"/>
      <c r="K942" s="13"/>
      <c r="L942" s="13"/>
      <c r="M942" s="8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>
      <c r="A943" s="13"/>
      <c r="B943" s="13"/>
      <c r="C943" s="13"/>
      <c r="D943" s="13"/>
      <c r="E943" s="13"/>
      <c r="F943" s="78"/>
      <c r="G943" s="78"/>
      <c r="H943" s="13"/>
      <c r="I943" s="13"/>
      <c r="J943" s="13"/>
      <c r="K943" s="13"/>
      <c r="L943" s="13"/>
      <c r="M943" s="8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>
      <c r="A944" s="13"/>
      <c r="B944" s="13"/>
      <c r="C944" s="13"/>
      <c r="D944" s="13"/>
      <c r="E944" s="13"/>
      <c r="F944" s="78"/>
      <c r="G944" s="78"/>
      <c r="H944" s="13"/>
      <c r="I944" s="13"/>
      <c r="J944" s="13"/>
      <c r="K944" s="13"/>
      <c r="L944" s="13"/>
      <c r="M944" s="8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>
      <c r="A945" s="13"/>
      <c r="B945" s="13"/>
      <c r="C945" s="13"/>
      <c r="D945" s="13"/>
      <c r="E945" s="13"/>
      <c r="F945" s="78"/>
      <c r="G945" s="78"/>
      <c r="H945" s="13"/>
      <c r="I945" s="13"/>
      <c r="J945" s="13"/>
      <c r="K945" s="13"/>
      <c r="L945" s="13"/>
      <c r="M945" s="8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>
      <c r="A946" s="13"/>
      <c r="B946" s="13"/>
      <c r="C946" s="13"/>
      <c r="D946" s="13"/>
      <c r="E946" s="13"/>
      <c r="F946" s="78"/>
      <c r="G946" s="78"/>
      <c r="H946" s="13"/>
      <c r="I946" s="13"/>
      <c r="J946" s="13"/>
      <c r="K946" s="13"/>
      <c r="L946" s="13"/>
      <c r="M946" s="8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>
      <c r="A947" s="13"/>
      <c r="B947" s="13"/>
      <c r="C947" s="13"/>
      <c r="D947" s="13"/>
      <c r="E947" s="13"/>
      <c r="F947" s="78"/>
      <c r="G947" s="78"/>
      <c r="H947" s="13"/>
      <c r="I947" s="13"/>
      <c r="J947" s="13"/>
      <c r="K947" s="13"/>
      <c r="L947" s="13"/>
      <c r="M947" s="8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>
      <c r="A948" s="13"/>
      <c r="B948" s="13"/>
      <c r="C948" s="13"/>
      <c r="D948" s="13"/>
      <c r="E948" s="13"/>
      <c r="F948" s="78"/>
      <c r="G948" s="78"/>
      <c r="H948" s="13"/>
      <c r="I948" s="13"/>
      <c r="J948" s="13"/>
      <c r="K948" s="13"/>
      <c r="L948" s="13"/>
      <c r="M948" s="8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>
      <c r="A949" s="13"/>
      <c r="B949" s="13"/>
      <c r="C949" s="13"/>
      <c r="D949" s="13"/>
      <c r="E949" s="13"/>
      <c r="F949" s="78"/>
      <c r="G949" s="78"/>
      <c r="H949" s="13"/>
      <c r="I949" s="13"/>
      <c r="J949" s="13"/>
      <c r="K949" s="13"/>
      <c r="L949" s="13"/>
      <c r="M949" s="8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>
      <c r="A950" s="13"/>
      <c r="B950" s="13"/>
      <c r="C950" s="13"/>
      <c r="D950" s="13"/>
      <c r="E950" s="13"/>
      <c r="F950" s="78"/>
      <c r="G950" s="78"/>
      <c r="H950" s="13"/>
      <c r="I950" s="13"/>
      <c r="J950" s="13"/>
      <c r="K950" s="13"/>
      <c r="L950" s="13"/>
      <c r="M950" s="8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>
      <c r="A951" s="13"/>
      <c r="B951" s="13"/>
      <c r="C951" s="13"/>
      <c r="D951" s="13"/>
      <c r="E951" s="13"/>
      <c r="F951" s="78"/>
      <c r="G951" s="78"/>
      <c r="H951" s="13"/>
      <c r="I951" s="13"/>
      <c r="J951" s="13"/>
      <c r="K951" s="13"/>
      <c r="L951" s="13"/>
      <c r="M951" s="8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>
      <c r="A952" s="13"/>
      <c r="B952" s="13"/>
      <c r="C952" s="13"/>
      <c r="D952" s="13"/>
      <c r="E952" s="13"/>
      <c r="F952" s="78"/>
      <c r="G952" s="78"/>
      <c r="H952" s="13"/>
      <c r="I952" s="13"/>
      <c r="J952" s="13"/>
      <c r="K952" s="13"/>
      <c r="L952" s="13"/>
      <c r="M952" s="8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>
      <c r="A953" s="13"/>
      <c r="B953" s="13"/>
      <c r="C953" s="13"/>
      <c r="D953" s="13"/>
      <c r="E953" s="13"/>
      <c r="F953" s="78"/>
      <c r="G953" s="78"/>
      <c r="H953" s="13"/>
      <c r="I953" s="13"/>
      <c r="J953" s="13"/>
      <c r="K953" s="13"/>
      <c r="L953" s="13"/>
      <c r="M953" s="8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>
      <c r="A954" s="13"/>
      <c r="B954" s="13"/>
      <c r="C954" s="13"/>
      <c r="D954" s="13"/>
      <c r="E954" s="13"/>
      <c r="F954" s="78"/>
      <c r="G954" s="78"/>
      <c r="H954" s="13"/>
      <c r="I954" s="13"/>
      <c r="J954" s="13"/>
      <c r="K954" s="13"/>
      <c r="L954" s="13"/>
      <c r="M954" s="8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>
      <c r="A955" s="13"/>
      <c r="B955" s="13"/>
      <c r="C955" s="13"/>
      <c r="D955" s="13"/>
      <c r="E955" s="13"/>
      <c r="F955" s="78"/>
      <c r="G955" s="78"/>
      <c r="H955" s="13"/>
      <c r="I955" s="13"/>
      <c r="J955" s="13"/>
      <c r="K955" s="13"/>
      <c r="L955" s="13"/>
      <c r="M955" s="8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>
      <c r="A956" s="13"/>
      <c r="B956" s="13"/>
      <c r="C956" s="13"/>
      <c r="D956" s="13"/>
      <c r="E956" s="13"/>
      <c r="F956" s="78"/>
      <c r="G956" s="78"/>
      <c r="H956" s="13"/>
      <c r="I956" s="13"/>
      <c r="J956" s="13"/>
      <c r="K956" s="13"/>
      <c r="L956" s="13"/>
      <c r="M956" s="8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>
      <c r="A957" s="13"/>
      <c r="B957" s="13"/>
      <c r="C957" s="13"/>
      <c r="D957" s="13"/>
      <c r="E957" s="13"/>
      <c r="F957" s="78"/>
      <c r="G957" s="78"/>
      <c r="H957" s="13"/>
      <c r="I957" s="13"/>
      <c r="J957" s="13"/>
      <c r="K957" s="13"/>
      <c r="L957" s="13"/>
      <c r="M957" s="8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>
      <c r="A958" s="13"/>
      <c r="B958" s="13"/>
      <c r="C958" s="13"/>
      <c r="D958" s="13"/>
      <c r="E958" s="13"/>
      <c r="F958" s="78"/>
      <c r="G958" s="78"/>
      <c r="H958" s="13"/>
      <c r="I958" s="13"/>
      <c r="J958" s="13"/>
      <c r="K958" s="13"/>
      <c r="L958" s="13"/>
      <c r="M958" s="8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>
      <c r="A959" s="13"/>
      <c r="B959" s="13"/>
      <c r="C959" s="13"/>
      <c r="D959" s="13"/>
      <c r="E959" s="13"/>
      <c r="F959" s="78"/>
      <c r="G959" s="78"/>
      <c r="H959" s="13"/>
      <c r="I959" s="13"/>
      <c r="J959" s="13"/>
      <c r="K959" s="13"/>
      <c r="L959" s="13"/>
      <c r="M959" s="8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>
      <c r="A960" s="13"/>
      <c r="B960" s="13"/>
      <c r="C960" s="13"/>
      <c r="D960" s="13"/>
      <c r="E960" s="13"/>
      <c r="F960" s="78"/>
      <c r="G960" s="78"/>
      <c r="H960" s="13"/>
      <c r="I960" s="13"/>
      <c r="J960" s="13"/>
      <c r="K960" s="13"/>
      <c r="L960" s="13"/>
      <c r="M960" s="8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>
      <c r="A961" s="13"/>
      <c r="B961" s="13"/>
      <c r="C961" s="13"/>
      <c r="D961" s="13"/>
      <c r="E961" s="13"/>
      <c r="F961" s="78"/>
      <c r="G961" s="78"/>
      <c r="H961" s="13"/>
      <c r="I961" s="13"/>
      <c r="J961" s="13"/>
      <c r="K961" s="13"/>
      <c r="L961" s="13"/>
      <c r="M961" s="8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>
      <c r="A962" s="13"/>
      <c r="B962" s="13"/>
      <c r="C962" s="13"/>
      <c r="D962" s="13"/>
      <c r="E962" s="13"/>
      <c r="F962" s="78"/>
      <c r="G962" s="78"/>
      <c r="H962" s="13"/>
      <c r="I962" s="13"/>
      <c r="J962" s="13"/>
      <c r="K962" s="13"/>
      <c r="L962" s="13"/>
      <c r="M962" s="8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>
      <c r="A963" s="13"/>
      <c r="B963" s="13"/>
      <c r="C963" s="13"/>
      <c r="D963" s="13"/>
      <c r="E963" s="13"/>
      <c r="F963" s="78"/>
      <c r="G963" s="78"/>
      <c r="H963" s="13"/>
      <c r="I963" s="13"/>
      <c r="J963" s="13"/>
      <c r="K963" s="13"/>
      <c r="L963" s="13"/>
      <c r="M963" s="8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>
      <c r="A964" s="13"/>
      <c r="B964" s="13"/>
      <c r="C964" s="13"/>
      <c r="D964" s="13"/>
      <c r="E964" s="13"/>
      <c r="F964" s="78"/>
      <c r="G964" s="78"/>
      <c r="H964" s="13"/>
      <c r="I964" s="13"/>
      <c r="J964" s="13"/>
      <c r="K964" s="13"/>
      <c r="L964" s="13"/>
      <c r="M964" s="8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>
      <c r="A965" s="13"/>
      <c r="B965" s="13"/>
      <c r="C965" s="13"/>
      <c r="D965" s="13"/>
      <c r="E965" s="13"/>
      <c r="F965" s="78"/>
      <c r="G965" s="78"/>
      <c r="H965" s="13"/>
      <c r="I965" s="13"/>
      <c r="J965" s="13"/>
      <c r="K965" s="13"/>
      <c r="L965" s="13"/>
      <c r="M965" s="8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>
      <c r="A966" s="13"/>
      <c r="B966" s="13"/>
      <c r="C966" s="13"/>
      <c r="D966" s="13"/>
      <c r="E966" s="13"/>
      <c r="F966" s="78"/>
      <c r="G966" s="78"/>
      <c r="H966" s="13"/>
      <c r="I966" s="13"/>
      <c r="J966" s="13"/>
      <c r="K966" s="13"/>
      <c r="L966" s="13"/>
      <c r="M966" s="8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>
      <c r="A967" s="13"/>
      <c r="B967" s="13"/>
      <c r="C967" s="13"/>
      <c r="D967" s="13"/>
      <c r="E967" s="13"/>
      <c r="F967" s="78"/>
      <c r="G967" s="78"/>
      <c r="H967" s="13"/>
      <c r="I967" s="13"/>
      <c r="J967" s="13"/>
      <c r="K967" s="13"/>
      <c r="L967" s="13"/>
      <c r="M967" s="8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>
      <c r="A968" s="13"/>
      <c r="B968" s="13"/>
      <c r="C968" s="13"/>
      <c r="D968" s="13"/>
      <c r="E968" s="13"/>
      <c r="F968" s="78"/>
      <c r="G968" s="78"/>
      <c r="H968" s="13"/>
      <c r="I968" s="13"/>
      <c r="J968" s="13"/>
      <c r="K968" s="13"/>
      <c r="L968" s="13"/>
      <c r="M968" s="8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>
      <c r="A969" s="13"/>
      <c r="B969" s="13"/>
      <c r="C969" s="13"/>
      <c r="D969" s="13"/>
      <c r="E969" s="13"/>
      <c r="F969" s="78"/>
      <c r="G969" s="78"/>
      <c r="H969" s="13"/>
      <c r="I969" s="13"/>
      <c r="J969" s="13"/>
      <c r="K969" s="13"/>
      <c r="L969" s="13"/>
      <c r="M969" s="8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>
      <c r="A970" s="13"/>
      <c r="B970" s="13"/>
      <c r="C970" s="13"/>
      <c r="D970" s="13"/>
      <c r="E970" s="13"/>
      <c r="F970" s="78"/>
      <c r="G970" s="78"/>
      <c r="H970" s="13"/>
      <c r="I970" s="13"/>
      <c r="J970" s="13"/>
      <c r="K970" s="13"/>
      <c r="L970" s="13"/>
      <c r="M970" s="8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>
      <c r="A971" s="13"/>
      <c r="B971" s="13"/>
      <c r="C971" s="13"/>
      <c r="D971" s="13"/>
      <c r="E971" s="13"/>
      <c r="F971" s="78"/>
      <c r="G971" s="78"/>
      <c r="H971" s="13"/>
      <c r="I971" s="13"/>
      <c r="J971" s="13"/>
      <c r="K971" s="13"/>
      <c r="L971" s="13"/>
      <c r="M971" s="8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>
      <c r="A972" s="13"/>
      <c r="B972" s="13"/>
      <c r="C972" s="13"/>
      <c r="D972" s="13"/>
      <c r="E972" s="13"/>
      <c r="F972" s="78"/>
      <c r="G972" s="78"/>
      <c r="H972" s="13"/>
      <c r="I972" s="13"/>
      <c r="J972" s="13"/>
      <c r="K972" s="13"/>
      <c r="L972" s="13"/>
      <c r="M972" s="8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>
      <c r="A973" s="13"/>
      <c r="B973" s="13"/>
      <c r="C973" s="13"/>
      <c r="D973" s="13"/>
      <c r="E973" s="13"/>
      <c r="F973" s="78"/>
      <c r="G973" s="78"/>
      <c r="H973" s="13"/>
      <c r="I973" s="13"/>
      <c r="J973" s="13"/>
      <c r="K973" s="13"/>
      <c r="L973" s="13"/>
      <c r="M973" s="8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>
      <c r="A974" s="13"/>
      <c r="B974" s="13"/>
      <c r="C974" s="13"/>
      <c r="D974" s="13"/>
      <c r="E974" s="13"/>
      <c r="F974" s="78"/>
      <c r="G974" s="78"/>
      <c r="H974" s="13"/>
      <c r="I974" s="13"/>
      <c r="J974" s="13"/>
      <c r="K974" s="13"/>
      <c r="L974" s="13"/>
      <c r="M974" s="8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>
      <c r="A975" s="13"/>
      <c r="B975" s="13"/>
      <c r="C975" s="13"/>
      <c r="D975" s="13"/>
      <c r="E975" s="13"/>
      <c r="F975" s="78"/>
      <c r="G975" s="78"/>
      <c r="H975" s="13"/>
      <c r="I975" s="13"/>
      <c r="J975" s="13"/>
      <c r="K975" s="13"/>
      <c r="L975" s="13"/>
      <c r="M975" s="8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>
      <c r="A976" s="13"/>
      <c r="B976" s="13"/>
      <c r="C976" s="13"/>
      <c r="D976" s="13"/>
      <c r="E976" s="13"/>
      <c r="F976" s="78"/>
      <c r="G976" s="78"/>
      <c r="H976" s="13"/>
      <c r="I976" s="13"/>
      <c r="J976" s="13"/>
      <c r="K976" s="13"/>
      <c r="L976" s="13"/>
      <c r="M976" s="8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>
      <c r="A977" s="13"/>
      <c r="B977" s="13"/>
      <c r="C977" s="13"/>
      <c r="D977" s="13"/>
      <c r="E977" s="13"/>
      <c r="F977" s="78"/>
      <c r="G977" s="78"/>
      <c r="H977" s="13"/>
      <c r="I977" s="13"/>
      <c r="J977" s="13"/>
      <c r="K977" s="13"/>
      <c r="L977" s="13"/>
      <c r="M977" s="8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>
      <c r="A978" s="13"/>
      <c r="B978" s="13"/>
      <c r="C978" s="13"/>
      <c r="D978" s="13"/>
      <c r="E978" s="13"/>
      <c r="F978" s="78"/>
      <c r="G978" s="78"/>
      <c r="H978" s="13"/>
      <c r="I978" s="13"/>
      <c r="J978" s="13"/>
      <c r="K978" s="13"/>
      <c r="L978" s="13"/>
      <c r="M978" s="8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>
      <c r="A979" s="13"/>
      <c r="B979" s="13"/>
      <c r="C979" s="13"/>
      <c r="D979" s="13"/>
      <c r="E979" s="13"/>
      <c r="F979" s="78"/>
      <c r="G979" s="78"/>
      <c r="H979" s="13"/>
      <c r="I979" s="13"/>
      <c r="J979" s="13"/>
      <c r="K979" s="13"/>
      <c r="L979" s="13"/>
      <c r="M979" s="8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>
      <c r="A980" s="13"/>
      <c r="B980" s="13"/>
      <c r="C980" s="13"/>
      <c r="D980" s="13"/>
      <c r="E980" s="13"/>
      <c r="F980" s="78"/>
      <c r="G980" s="78"/>
      <c r="H980" s="13"/>
      <c r="I980" s="13"/>
      <c r="J980" s="13"/>
      <c r="K980" s="13"/>
      <c r="L980" s="13"/>
      <c r="M980" s="8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>
      <c r="A981" s="13"/>
      <c r="B981" s="13"/>
      <c r="C981" s="13"/>
      <c r="D981" s="13"/>
      <c r="E981" s="13"/>
      <c r="F981" s="78"/>
      <c r="G981" s="78"/>
      <c r="H981" s="13"/>
      <c r="I981" s="13"/>
      <c r="J981" s="13"/>
      <c r="K981" s="13"/>
      <c r="L981" s="13"/>
      <c r="M981" s="8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>
      <c r="A982" s="13"/>
      <c r="B982" s="13"/>
      <c r="C982" s="13"/>
      <c r="D982" s="13"/>
      <c r="E982" s="13"/>
      <c r="F982" s="78"/>
      <c r="G982" s="78"/>
      <c r="H982" s="13"/>
      <c r="I982" s="13"/>
      <c r="J982" s="13"/>
      <c r="K982" s="13"/>
      <c r="L982" s="13"/>
      <c r="M982" s="8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>
      <c r="A983" s="13"/>
      <c r="B983" s="13"/>
      <c r="C983" s="13"/>
      <c r="D983" s="13"/>
      <c r="E983" s="13"/>
      <c r="F983" s="78"/>
      <c r="G983" s="78"/>
      <c r="H983" s="13"/>
      <c r="I983" s="13"/>
      <c r="J983" s="13"/>
      <c r="K983" s="13"/>
      <c r="L983" s="13"/>
      <c r="M983" s="8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>
      <c r="A984" s="13"/>
      <c r="B984" s="13"/>
      <c r="C984" s="13"/>
      <c r="D984" s="13"/>
      <c r="E984" s="13"/>
      <c r="F984" s="78"/>
      <c r="G984" s="78"/>
      <c r="H984" s="13"/>
      <c r="I984" s="13"/>
      <c r="J984" s="13"/>
      <c r="K984" s="13"/>
      <c r="L984" s="13"/>
      <c r="M984" s="8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>
      <c r="A985" s="13"/>
      <c r="B985" s="13"/>
      <c r="C985" s="13"/>
      <c r="D985" s="13"/>
      <c r="E985" s="13"/>
      <c r="F985" s="78"/>
      <c r="G985" s="78"/>
      <c r="H985" s="13"/>
      <c r="I985" s="13"/>
      <c r="J985" s="13"/>
      <c r="K985" s="13"/>
      <c r="L985" s="13"/>
      <c r="M985" s="8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>
      <c r="A986" s="13"/>
      <c r="B986" s="13"/>
      <c r="C986" s="13"/>
      <c r="D986" s="13"/>
      <c r="E986" s="13"/>
      <c r="F986" s="78"/>
      <c r="G986" s="78"/>
      <c r="H986" s="13"/>
      <c r="I986" s="13"/>
      <c r="J986" s="13"/>
      <c r="K986" s="13"/>
      <c r="L986" s="13"/>
      <c r="M986" s="8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>
      <c r="A987" s="13"/>
      <c r="B987" s="13"/>
      <c r="C987" s="13"/>
      <c r="D987" s="13"/>
      <c r="E987" s="13"/>
      <c r="F987" s="78"/>
      <c r="G987" s="78"/>
      <c r="H987" s="13"/>
      <c r="I987" s="13"/>
      <c r="J987" s="13"/>
      <c r="K987" s="13"/>
      <c r="L987" s="13"/>
      <c r="M987" s="8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>
      <c r="A988" s="13"/>
      <c r="B988" s="13"/>
      <c r="C988" s="13"/>
      <c r="D988" s="13"/>
      <c r="E988" s="13"/>
      <c r="F988" s="78"/>
      <c r="G988" s="78"/>
      <c r="H988" s="13"/>
      <c r="I988" s="13"/>
      <c r="J988" s="13"/>
      <c r="K988" s="13"/>
      <c r="L988" s="13"/>
      <c r="M988" s="8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>
      <c r="A989" s="13"/>
      <c r="B989" s="13"/>
      <c r="C989" s="13"/>
      <c r="D989" s="13"/>
      <c r="E989" s="13"/>
      <c r="F989" s="78"/>
      <c r="G989" s="78"/>
      <c r="H989" s="13"/>
      <c r="I989" s="13"/>
      <c r="J989" s="13"/>
      <c r="K989" s="13"/>
      <c r="L989" s="13"/>
      <c r="M989" s="8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>
      <c r="A990" s="13"/>
      <c r="B990" s="13"/>
      <c r="C990" s="13"/>
      <c r="D990" s="13"/>
      <c r="E990" s="13"/>
      <c r="F990" s="78"/>
      <c r="G990" s="78"/>
      <c r="H990" s="13"/>
      <c r="I990" s="13"/>
      <c r="J990" s="13"/>
      <c r="K990" s="13"/>
      <c r="L990" s="13"/>
      <c r="M990" s="8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>
      <c r="A991" s="13"/>
      <c r="B991" s="13"/>
      <c r="C991" s="13"/>
      <c r="D991" s="13"/>
      <c r="E991" s="13"/>
      <c r="F991" s="78"/>
      <c r="G991" s="78"/>
      <c r="H991" s="13"/>
      <c r="I991" s="13"/>
      <c r="J991" s="13"/>
      <c r="K991" s="13"/>
      <c r="L991" s="13"/>
      <c r="M991" s="8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>
      <c r="A992" s="13"/>
      <c r="B992" s="13"/>
      <c r="C992" s="13"/>
      <c r="D992" s="13"/>
      <c r="E992" s="13"/>
      <c r="F992" s="78"/>
      <c r="G992" s="78"/>
      <c r="H992" s="13"/>
      <c r="I992" s="13"/>
      <c r="J992" s="13"/>
      <c r="K992" s="13"/>
      <c r="L992" s="13"/>
      <c r="M992" s="8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>
      <c r="A993" s="13"/>
      <c r="B993" s="13"/>
      <c r="C993" s="13"/>
      <c r="D993" s="13"/>
      <c r="E993" s="13"/>
      <c r="F993" s="78"/>
      <c r="G993" s="78"/>
      <c r="H993" s="13"/>
      <c r="I993" s="13"/>
      <c r="J993" s="13"/>
      <c r="K993" s="13"/>
      <c r="L993" s="13"/>
      <c r="M993" s="8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>
      <c r="A994" s="13"/>
      <c r="B994" s="13"/>
      <c r="C994" s="13"/>
      <c r="D994" s="13"/>
      <c r="E994" s="13"/>
      <c r="F994" s="78"/>
      <c r="G994" s="78"/>
      <c r="H994" s="13"/>
      <c r="I994" s="13"/>
      <c r="J994" s="13"/>
      <c r="K994" s="13"/>
      <c r="L994" s="13"/>
      <c r="M994" s="8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>
      <c r="A995" s="13"/>
      <c r="B995" s="13"/>
      <c r="C995" s="13"/>
      <c r="D995" s="13"/>
      <c r="E995" s="13"/>
      <c r="F995" s="78"/>
      <c r="G995" s="78"/>
      <c r="H995" s="13"/>
      <c r="I995" s="13"/>
      <c r="J995" s="13"/>
      <c r="K995" s="13"/>
      <c r="L995" s="13"/>
      <c r="M995" s="8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>
      <c r="A996" s="13"/>
      <c r="B996" s="13"/>
      <c r="C996" s="13"/>
      <c r="D996" s="13"/>
      <c r="E996" s="13"/>
      <c r="F996" s="78"/>
      <c r="G996" s="78"/>
      <c r="H996" s="13"/>
      <c r="I996" s="13"/>
      <c r="J996" s="13"/>
      <c r="K996" s="13"/>
      <c r="L996" s="13"/>
      <c r="M996" s="8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>
      <c r="A997" s="13"/>
      <c r="B997" s="13"/>
      <c r="C997" s="13"/>
      <c r="D997" s="13"/>
      <c r="E997" s="13"/>
      <c r="F997" s="78"/>
      <c r="G997" s="78"/>
      <c r="H997" s="13"/>
      <c r="I997" s="13"/>
      <c r="J997" s="13"/>
      <c r="K997" s="13"/>
      <c r="L997" s="13"/>
      <c r="M997" s="8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>
      <c r="A998" s="13"/>
      <c r="B998" s="13"/>
      <c r="C998" s="13"/>
      <c r="D998" s="13"/>
      <c r="E998" s="13"/>
      <c r="F998" s="78"/>
      <c r="G998" s="78"/>
      <c r="H998" s="13"/>
      <c r="I998" s="13"/>
      <c r="J998" s="13"/>
      <c r="K998" s="13"/>
      <c r="L998" s="13"/>
      <c r="M998" s="8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</row>
    <row r="999">
      <c r="A999" s="13"/>
      <c r="B999" s="13"/>
      <c r="C999" s="13"/>
      <c r="D999" s="13"/>
      <c r="E999" s="13"/>
      <c r="F999" s="78"/>
      <c r="G999" s="78"/>
      <c r="H999" s="13"/>
      <c r="I999" s="13"/>
      <c r="J999" s="13"/>
      <c r="K999" s="13"/>
      <c r="L999" s="13"/>
      <c r="M999" s="8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</row>
    <row r="1000">
      <c r="A1000" s="13"/>
      <c r="B1000" s="13"/>
      <c r="C1000" s="13"/>
      <c r="D1000" s="13"/>
      <c r="E1000" s="13"/>
      <c r="F1000" s="78"/>
      <c r="G1000" s="78"/>
      <c r="H1000" s="13"/>
      <c r="I1000" s="13"/>
      <c r="J1000" s="13"/>
      <c r="K1000" s="13"/>
      <c r="L1000" s="13"/>
      <c r="M1000" s="8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</row>
    <row r="1001">
      <c r="A1001" s="13"/>
      <c r="B1001" s="13"/>
      <c r="C1001" s="13"/>
      <c r="D1001" s="13"/>
      <c r="E1001" s="13"/>
      <c r="F1001" s="78"/>
      <c r="G1001" s="78"/>
      <c r="H1001" s="13"/>
      <c r="I1001" s="13"/>
      <c r="J1001" s="13"/>
      <c r="K1001" s="13"/>
      <c r="L1001" s="13"/>
      <c r="M1001" s="8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</row>
    <row r="1002">
      <c r="A1002" s="13"/>
      <c r="B1002" s="13"/>
      <c r="C1002" s="13"/>
      <c r="D1002" s="13"/>
      <c r="E1002" s="13"/>
      <c r="F1002" s="78"/>
      <c r="G1002" s="78"/>
      <c r="H1002" s="13"/>
      <c r="I1002" s="13"/>
      <c r="J1002" s="13"/>
      <c r="K1002" s="13"/>
      <c r="L1002" s="13"/>
      <c r="M1002" s="8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</row>
    <row r="1003">
      <c r="A1003" s="13"/>
      <c r="B1003" s="13"/>
      <c r="C1003" s="13"/>
      <c r="D1003" s="13"/>
      <c r="E1003" s="13"/>
      <c r="F1003" s="78"/>
      <c r="G1003" s="78"/>
      <c r="H1003" s="13"/>
      <c r="I1003" s="13"/>
      <c r="J1003" s="13"/>
      <c r="K1003" s="13"/>
      <c r="L1003" s="13"/>
      <c r="M1003" s="8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</row>
    <row r="1004">
      <c r="A1004" s="13"/>
      <c r="B1004" s="13"/>
      <c r="C1004" s="13"/>
      <c r="D1004" s="13"/>
      <c r="E1004" s="13"/>
      <c r="F1004" s="78"/>
      <c r="G1004" s="78"/>
      <c r="H1004" s="13"/>
      <c r="I1004" s="13"/>
      <c r="J1004" s="13"/>
      <c r="K1004" s="13"/>
      <c r="L1004" s="13"/>
      <c r="M1004" s="8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</row>
    <row r="1005">
      <c r="A1005" s="13"/>
      <c r="B1005" s="13"/>
      <c r="C1005" s="13"/>
      <c r="D1005" s="13"/>
      <c r="E1005" s="13"/>
      <c r="F1005" s="78"/>
      <c r="G1005" s="78"/>
      <c r="H1005" s="13"/>
      <c r="I1005" s="13"/>
      <c r="J1005" s="13"/>
      <c r="K1005" s="13"/>
      <c r="L1005" s="13"/>
      <c r="M1005" s="8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</row>
    <row r="1006">
      <c r="A1006" s="13"/>
      <c r="B1006" s="13"/>
      <c r="C1006" s="13"/>
      <c r="D1006" s="13"/>
      <c r="E1006" s="13"/>
      <c r="F1006" s="78"/>
      <c r="G1006" s="78"/>
      <c r="H1006" s="13"/>
      <c r="I1006" s="13"/>
      <c r="J1006" s="13"/>
      <c r="K1006" s="13"/>
      <c r="L1006" s="13"/>
      <c r="M1006" s="8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</row>
    <row r="1007">
      <c r="A1007" s="13"/>
      <c r="B1007" s="13"/>
      <c r="C1007" s="13"/>
      <c r="D1007" s="13"/>
      <c r="E1007" s="13"/>
      <c r="F1007" s="78"/>
      <c r="G1007" s="78"/>
      <c r="H1007" s="13"/>
      <c r="I1007" s="13"/>
      <c r="J1007" s="13"/>
      <c r="K1007" s="13"/>
      <c r="L1007" s="13"/>
      <c r="M1007" s="8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</row>
    <row r="1008">
      <c r="A1008" s="13"/>
      <c r="B1008" s="13"/>
      <c r="C1008" s="13"/>
      <c r="D1008" s="13"/>
      <c r="E1008" s="13"/>
      <c r="F1008" s="78"/>
      <c r="G1008" s="78"/>
      <c r="H1008" s="13"/>
      <c r="I1008" s="13"/>
      <c r="J1008" s="13"/>
      <c r="K1008" s="13"/>
      <c r="L1008" s="13"/>
      <c r="M1008" s="8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</row>
    <row r="1009">
      <c r="A1009" s="13"/>
      <c r="B1009" s="13"/>
      <c r="C1009" s="13"/>
      <c r="D1009" s="13"/>
      <c r="E1009" s="13"/>
      <c r="F1009" s="78"/>
      <c r="G1009" s="78"/>
      <c r="H1009" s="13"/>
      <c r="I1009" s="13"/>
      <c r="J1009" s="13"/>
      <c r="K1009" s="13"/>
      <c r="L1009" s="13"/>
      <c r="M1009" s="8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</row>
    <row r="1010">
      <c r="A1010" s="13"/>
      <c r="B1010" s="13"/>
      <c r="C1010" s="13"/>
      <c r="D1010" s="13"/>
      <c r="E1010" s="13"/>
      <c r="F1010" s="78"/>
      <c r="G1010" s="78"/>
      <c r="H1010" s="13"/>
      <c r="I1010" s="13"/>
      <c r="J1010" s="13"/>
      <c r="K1010" s="13"/>
      <c r="L1010" s="13"/>
      <c r="M1010" s="8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</row>
    <row r="1011">
      <c r="A1011" s="13"/>
      <c r="B1011" s="13"/>
      <c r="C1011" s="13"/>
      <c r="D1011" s="13"/>
      <c r="E1011" s="13"/>
      <c r="F1011" s="78"/>
      <c r="G1011" s="78"/>
      <c r="H1011" s="13"/>
      <c r="I1011" s="13"/>
      <c r="J1011" s="13"/>
      <c r="K1011" s="13"/>
      <c r="L1011" s="13"/>
      <c r="M1011" s="8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</row>
    <row r="1012">
      <c r="A1012" s="13"/>
      <c r="B1012" s="13"/>
      <c r="C1012" s="13"/>
      <c r="D1012" s="13"/>
      <c r="E1012" s="13"/>
      <c r="F1012" s="78"/>
      <c r="G1012" s="78"/>
      <c r="H1012" s="13"/>
      <c r="I1012" s="13"/>
      <c r="J1012" s="13"/>
      <c r="K1012" s="13"/>
      <c r="L1012" s="13"/>
      <c r="M1012" s="8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</row>
    <row r="1013">
      <c r="A1013" s="13"/>
      <c r="B1013" s="13"/>
      <c r="C1013" s="13"/>
      <c r="D1013" s="13"/>
      <c r="E1013" s="13"/>
      <c r="F1013" s="78"/>
      <c r="G1013" s="78"/>
      <c r="H1013" s="13"/>
      <c r="I1013" s="13"/>
      <c r="J1013" s="13"/>
      <c r="K1013" s="13"/>
      <c r="L1013" s="13"/>
      <c r="M1013" s="8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</row>
    <row r="1014">
      <c r="A1014" s="13"/>
      <c r="B1014" s="13"/>
      <c r="C1014" s="13"/>
      <c r="D1014" s="13"/>
      <c r="E1014" s="13"/>
      <c r="F1014" s="78"/>
      <c r="G1014" s="78"/>
      <c r="H1014" s="13"/>
      <c r="I1014" s="13"/>
      <c r="J1014" s="13"/>
      <c r="K1014" s="13"/>
      <c r="L1014" s="13"/>
      <c r="M1014" s="8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</row>
    <row r="1015">
      <c r="A1015" s="13"/>
      <c r="B1015" s="13"/>
      <c r="C1015" s="13"/>
      <c r="D1015" s="13"/>
      <c r="E1015" s="13"/>
      <c r="F1015" s="78"/>
      <c r="G1015" s="78"/>
      <c r="H1015" s="13"/>
      <c r="I1015" s="13"/>
      <c r="J1015" s="13"/>
      <c r="K1015" s="13"/>
      <c r="L1015" s="13"/>
      <c r="M1015" s="8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</row>
    <row r="1016">
      <c r="A1016" s="13"/>
      <c r="B1016" s="13"/>
      <c r="C1016" s="13"/>
      <c r="D1016" s="13"/>
      <c r="E1016" s="13"/>
      <c r="F1016" s="78"/>
      <c r="G1016" s="78"/>
      <c r="H1016" s="13"/>
      <c r="I1016" s="13"/>
      <c r="J1016" s="13"/>
      <c r="K1016" s="13"/>
      <c r="L1016" s="13"/>
      <c r="M1016" s="8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</row>
    <row r="1017">
      <c r="A1017" s="13"/>
      <c r="B1017" s="13"/>
      <c r="C1017" s="13"/>
      <c r="D1017" s="13"/>
      <c r="E1017" s="13"/>
      <c r="F1017" s="78"/>
      <c r="G1017" s="78"/>
      <c r="H1017" s="13"/>
      <c r="I1017" s="13"/>
      <c r="J1017" s="13"/>
      <c r="K1017" s="13"/>
      <c r="L1017" s="13"/>
      <c r="M1017" s="8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</row>
    <row r="1018">
      <c r="A1018" s="13"/>
      <c r="B1018" s="13"/>
      <c r="C1018" s="13"/>
      <c r="D1018" s="13"/>
      <c r="E1018" s="13"/>
      <c r="F1018" s="78"/>
      <c r="G1018" s="78"/>
      <c r="H1018" s="13"/>
      <c r="I1018" s="13"/>
      <c r="J1018" s="13"/>
      <c r="K1018" s="13"/>
      <c r="L1018" s="13"/>
      <c r="M1018" s="8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</row>
    <row r="1019">
      <c r="A1019" s="13"/>
      <c r="B1019" s="13"/>
      <c r="C1019" s="13"/>
      <c r="D1019" s="13"/>
      <c r="E1019" s="13"/>
      <c r="F1019" s="78"/>
      <c r="G1019" s="78"/>
      <c r="H1019" s="13"/>
      <c r="I1019" s="13"/>
      <c r="J1019" s="13"/>
      <c r="K1019" s="13"/>
      <c r="L1019" s="13"/>
      <c r="M1019" s="8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</row>
    <row r="1020">
      <c r="A1020" s="13"/>
      <c r="B1020" s="13"/>
      <c r="C1020" s="13"/>
      <c r="D1020" s="13"/>
      <c r="E1020" s="13"/>
      <c r="F1020" s="78"/>
      <c r="G1020" s="78"/>
      <c r="H1020" s="13"/>
      <c r="I1020" s="13"/>
      <c r="J1020" s="13"/>
      <c r="K1020" s="13"/>
      <c r="L1020" s="13"/>
      <c r="M1020" s="8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</row>
    <row r="1021">
      <c r="A1021" s="13"/>
      <c r="B1021" s="13"/>
      <c r="C1021" s="13"/>
      <c r="D1021" s="13"/>
      <c r="E1021" s="13"/>
      <c r="F1021" s="78"/>
      <c r="G1021" s="78"/>
      <c r="H1021" s="13"/>
      <c r="I1021" s="13"/>
      <c r="J1021" s="13"/>
      <c r="K1021" s="13"/>
      <c r="L1021" s="13"/>
      <c r="M1021" s="8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</row>
    <row r="1022">
      <c r="A1022" s="13"/>
      <c r="B1022" s="13"/>
      <c r="C1022" s="13"/>
      <c r="D1022" s="13"/>
      <c r="E1022" s="13"/>
      <c r="F1022" s="78"/>
      <c r="G1022" s="78"/>
      <c r="H1022" s="13"/>
      <c r="I1022" s="13"/>
      <c r="J1022" s="13"/>
      <c r="K1022" s="13"/>
      <c r="L1022" s="13"/>
      <c r="M1022" s="8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</row>
    <row r="1023">
      <c r="A1023" s="13"/>
      <c r="B1023" s="13"/>
      <c r="C1023" s="13"/>
      <c r="D1023" s="13"/>
      <c r="E1023" s="13"/>
      <c r="F1023" s="78"/>
      <c r="G1023" s="78"/>
      <c r="H1023" s="13"/>
      <c r="I1023" s="13"/>
      <c r="J1023" s="13"/>
      <c r="K1023" s="13"/>
      <c r="L1023" s="13"/>
      <c r="M1023" s="8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</row>
    <row r="1024">
      <c r="A1024" s="13"/>
      <c r="B1024" s="13"/>
      <c r="C1024" s="13"/>
      <c r="D1024" s="13"/>
      <c r="E1024" s="13"/>
      <c r="F1024" s="78"/>
      <c r="G1024" s="78"/>
      <c r="H1024" s="13"/>
      <c r="I1024" s="13"/>
      <c r="J1024" s="13"/>
      <c r="K1024" s="13"/>
      <c r="L1024" s="13"/>
      <c r="M1024" s="8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</row>
    <row r="1025">
      <c r="A1025" s="13"/>
      <c r="B1025" s="13"/>
      <c r="C1025" s="13"/>
      <c r="D1025" s="13"/>
      <c r="E1025" s="13"/>
      <c r="F1025" s="78"/>
      <c r="G1025" s="78"/>
      <c r="H1025" s="13"/>
      <c r="I1025" s="13"/>
      <c r="J1025" s="13"/>
      <c r="K1025" s="13"/>
      <c r="L1025" s="13"/>
      <c r="M1025" s="8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</row>
    <row r="1026">
      <c r="A1026" s="13"/>
      <c r="B1026" s="13"/>
      <c r="C1026" s="13"/>
      <c r="D1026" s="13"/>
      <c r="E1026" s="13"/>
      <c r="F1026" s="78"/>
      <c r="G1026" s="78"/>
      <c r="H1026" s="13"/>
      <c r="I1026" s="13"/>
      <c r="J1026" s="13"/>
      <c r="K1026" s="13"/>
      <c r="L1026" s="13"/>
      <c r="M1026" s="8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</row>
    <row r="1027">
      <c r="A1027" s="13"/>
      <c r="B1027" s="13"/>
      <c r="C1027" s="13"/>
      <c r="D1027" s="13"/>
      <c r="E1027" s="13"/>
      <c r="F1027" s="78"/>
      <c r="G1027" s="78"/>
      <c r="H1027" s="13"/>
      <c r="I1027" s="13"/>
      <c r="J1027" s="13"/>
      <c r="K1027" s="13"/>
      <c r="L1027" s="13"/>
      <c r="M1027" s="8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</row>
    <row r="1028">
      <c r="A1028" s="13"/>
      <c r="B1028" s="13"/>
      <c r="C1028" s="13"/>
      <c r="D1028" s="13"/>
      <c r="E1028" s="13"/>
      <c r="F1028" s="78"/>
      <c r="G1028" s="78"/>
      <c r="H1028" s="13"/>
      <c r="I1028" s="13"/>
      <c r="J1028" s="13"/>
      <c r="K1028" s="13"/>
      <c r="L1028" s="13"/>
      <c r="M1028" s="8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</row>
    <row r="1029">
      <c r="A1029" s="13"/>
      <c r="B1029" s="13"/>
      <c r="C1029" s="13"/>
      <c r="D1029" s="13"/>
      <c r="E1029" s="13"/>
      <c r="F1029" s="78"/>
      <c r="G1029" s="78"/>
      <c r="H1029" s="13"/>
      <c r="I1029" s="13"/>
      <c r="J1029" s="13"/>
      <c r="K1029" s="13"/>
      <c r="L1029" s="13"/>
      <c r="M1029" s="8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</row>
    <row r="1030">
      <c r="A1030" s="13"/>
      <c r="B1030" s="13"/>
      <c r="C1030" s="13"/>
      <c r="D1030" s="13"/>
      <c r="E1030" s="13"/>
      <c r="F1030" s="78"/>
      <c r="G1030" s="78"/>
      <c r="H1030" s="13"/>
      <c r="I1030" s="13"/>
      <c r="J1030" s="13"/>
      <c r="K1030" s="13"/>
      <c r="L1030" s="13"/>
      <c r="M1030" s="8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</row>
    <row r="1031">
      <c r="A1031" s="13"/>
      <c r="B1031" s="13"/>
      <c r="C1031" s="13"/>
      <c r="D1031" s="13"/>
      <c r="E1031" s="13"/>
      <c r="F1031" s="78"/>
      <c r="G1031" s="78"/>
      <c r="H1031" s="13"/>
      <c r="I1031" s="13"/>
      <c r="J1031" s="13"/>
      <c r="K1031" s="13"/>
      <c r="L1031" s="13"/>
      <c r="M1031" s="8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</row>
    <row r="1032">
      <c r="A1032" s="13"/>
      <c r="B1032" s="13"/>
      <c r="C1032" s="13"/>
      <c r="D1032" s="13"/>
      <c r="E1032" s="13"/>
      <c r="F1032" s="78"/>
      <c r="G1032" s="78"/>
      <c r="H1032" s="13"/>
      <c r="I1032" s="13"/>
      <c r="J1032" s="13"/>
      <c r="K1032" s="13"/>
      <c r="L1032" s="13"/>
      <c r="M1032" s="8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</row>
    <row r="1033">
      <c r="A1033" s="13"/>
      <c r="B1033" s="13"/>
      <c r="C1033" s="13"/>
      <c r="D1033" s="13"/>
      <c r="E1033" s="13"/>
      <c r="F1033" s="78"/>
      <c r="G1033" s="78"/>
      <c r="H1033" s="13"/>
      <c r="I1033" s="13"/>
      <c r="J1033" s="13"/>
      <c r="K1033" s="13"/>
      <c r="L1033" s="13"/>
      <c r="M1033" s="8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</row>
    <row r="1034">
      <c r="A1034" s="13"/>
      <c r="B1034" s="13"/>
      <c r="C1034" s="13"/>
      <c r="D1034" s="13"/>
      <c r="E1034" s="13"/>
      <c r="F1034" s="78"/>
      <c r="G1034" s="78"/>
      <c r="H1034" s="13"/>
      <c r="I1034" s="13"/>
      <c r="J1034" s="13"/>
      <c r="K1034" s="13"/>
      <c r="L1034" s="13"/>
      <c r="M1034" s="8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</row>
    <row r="1035">
      <c r="A1035" s="13"/>
      <c r="B1035" s="13"/>
      <c r="C1035" s="13"/>
      <c r="D1035" s="13"/>
      <c r="E1035" s="13"/>
      <c r="F1035" s="78"/>
      <c r="G1035" s="78"/>
      <c r="H1035" s="13"/>
      <c r="I1035" s="13"/>
      <c r="J1035" s="13"/>
      <c r="K1035" s="13"/>
      <c r="L1035" s="13"/>
      <c r="M1035" s="8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</row>
    <row r="1036">
      <c r="A1036" s="13"/>
      <c r="B1036" s="13"/>
      <c r="C1036" s="13"/>
      <c r="D1036" s="13"/>
      <c r="E1036" s="13"/>
      <c r="F1036" s="78"/>
      <c r="G1036" s="78"/>
      <c r="H1036" s="13"/>
      <c r="I1036" s="13"/>
      <c r="J1036" s="13"/>
      <c r="K1036" s="13"/>
      <c r="L1036" s="13"/>
      <c r="M1036" s="8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</row>
    <row r="1037">
      <c r="A1037" s="13"/>
      <c r="B1037" s="13"/>
      <c r="C1037" s="13"/>
      <c r="D1037" s="13"/>
      <c r="E1037" s="13"/>
      <c r="F1037" s="78"/>
      <c r="G1037" s="78"/>
      <c r="H1037" s="13"/>
      <c r="I1037" s="13"/>
      <c r="J1037" s="13"/>
      <c r="K1037" s="13"/>
      <c r="L1037" s="13"/>
      <c r="M1037" s="8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</row>
    <row r="1038">
      <c r="A1038" s="13"/>
      <c r="B1038" s="13"/>
      <c r="C1038" s="13"/>
      <c r="D1038" s="13"/>
      <c r="E1038" s="13"/>
      <c r="F1038" s="78"/>
      <c r="G1038" s="78"/>
      <c r="H1038" s="13"/>
      <c r="I1038" s="13"/>
      <c r="J1038" s="13"/>
      <c r="K1038" s="13"/>
      <c r="L1038" s="13"/>
      <c r="M1038" s="8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</row>
    <row r="1039">
      <c r="A1039" s="13"/>
      <c r="B1039" s="13"/>
      <c r="C1039" s="13"/>
      <c r="D1039" s="13"/>
      <c r="E1039" s="13"/>
      <c r="F1039" s="78"/>
      <c r="G1039" s="78"/>
      <c r="H1039" s="13"/>
      <c r="I1039" s="13"/>
      <c r="J1039" s="13"/>
      <c r="K1039" s="13"/>
      <c r="L1039" s="13"/>
      <c r="M1039" s="8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</row>
    <row r="1040">
      <c r="A1040" s="13"/>
      <c r="B1040" s="13"/>
      <c r="C1040" s="13"/>
      <c r="D1040" s="13"/>
      <c r="E1040" s="13"/>
      <c r="F1040" s="78"/>
      <c r="G1040" s="78"/>
      <c r="H1040" s="13"/>
      <c r="I1040" s="13"/>
      <c r="J1040" s="13"/>
      <c r="K1040" s="13"/>
      <c r="L1040" s="13"/>
      <c r="M1040" s="8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</row>
    <row r="1041">
      <c r="A1041" s="13"/>
      <c r="B1041" s="13"/>
      <c r="C1041" s="13"/>
      <c r="D1041" s="13"/>
      <c r="E1041" s="13"/>
      <c r="F1041" s="78"/>
      <c r="G1041" s="78"/>
      <c r="H1041" s="13"/>
      <c r="I1041" s="13"/>
      <c r="J1041" s="13"/>
      <c r="K1041" s="13"/>
      <c r="L1041" s="13"/>
      <c r="M1041" s="8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</row>
    <row r="1042">
      <c r="A1042" s="13"/>
      <c r="B1042" s="13"/>
      <c r="C1042" s="13"/>
      <c r="D1042" s="13"/>
      <c r="E1042" s="13"/>
      <c r="F1042" s="78"/>
      <c r="G1042" s="78"/>
      <c r="H1042" s="13"/>
      <c r="I1042" s="13"/>
      <c r="J1042" s="13"/>
      <c r="K1042" s="13"/>
      <c r="L1042" s="13"/>
      <c r="M1042" s="8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</row>
    <row r="1043">
      <c r="A1043" s="13"/>
      <c r="B1043" s="13"/>
      <c r="C1043" s="13"/>
      <c r="D1043" s="13"/>
      <c r="E1043" s="13"/>
      <c r="F1043" s="78"/>
      <c r="G1043" s="78"/>
      <c r="H1043" s="13"/>
      <c r="I1043" s="13"/>
      <c r="J1043" s="13"/>
      <c r="K1043" s="13"/>
      <c r="L1043" s="13"/>
      <c r="M1043" s="8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</row>
    <row r="1044">
      <c r="A1044" s="13"/>
      <c r="B1044" s="13"/>
      <c r="C1044" s="13"/>
      <c r="D1044" s="13"/>
      <c r="E1044" s="13"/>
      <c r="F1044" s="78"/>
      <c r="G1044" s="78"/>
      <c r="H1044" s="13"/>
      <c r="I1044" s="13"/>
      <c r="J1044" s="13"/>
      <c r="K1044" s="13"/>
      <c r="L1044" s="13"/>
      <c r="M1044" s="8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</row>
    <row r="1045">
      <c r="A1045" s="13"/>
      <c r="B1045" s="13"/>
      <c r="C1045" s="13"/>
      <c r="D1045" s="13"/>
      <c r="E1045" s="13"/>
      <c r="F1045" s="78"/>
      <c r="G1045" s="78"/>
      <c r="H1045" s="13"/>
      <c r="I1045" s="13"/>
      <c r="J1045" s="13"/>
      <c r="K1045" s="13"/>
      <c r="L1045" s="13"/>
      <c r="M1045" s="8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</row>
    <row r="1046">
      <c r="A1046" s="13"/>
      <c r="B1046" s="13"/>
      <c r="C1046" s="13"/>
      <c r="D1046" s="13"/>
      <c r="E1046" s="13"/>
      <c r="F1046" s="78"/>
      <c r="G1046" s="78"/>
      <c r="H1046" s="13"/>
      <c r="I1046" s="13"/>
      <c r="J1046" s="13"/>
      <c r="K1046" s="13"/>
      <c r="L1046" s="13"/>
      <c r="M1046" s="8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</row>
    <row r="1047">
      <c r="A1047" s="13"/>
      <c r="B1047" s="13"/>
      <c r="C1047" s="13"/>
      <c r="D1047" s="13"/>
      <c r="E1047" s="13"/>
      <c r="F1047" s="78"/>
      <c r="G1047" s="78"/>
      <c r="H1047" s="13"/>
      <c r="I1047" s="13"/>
      <c r="J1047" s="13"/>
      <c r="K1047" s="13"/>
      <c r="L1047" s="13"/>
      <c r="M1047" s="8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</row>
    <row r="1048">
      <c r="A1048" s="13"/>
      <c r="B1048" s="13"/>
      <c r="C1048" s="13"/>
      <c r="D1048" s="13"/>
      <c r="E1048" s="13"/>
      <c r="F1048" s="78"/>
      <c r="G1048" s="78"/>
      <c r="H1048" s="13"/>
      <c r="I1048" s="13"/>
      <c r="J1048" s="13"/>
      <c r="K1048" s="13"/>
      <c r="L1048" s="13"/>
      <c r="M1048" s="8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</row>
    <row r="1049">
      <c r="A1049" s="13"/>
      <c r="B1049" s="13"/>
      <c r="C1049" s="13"/>
      <c r="D1049" s="13"/>
      <c r="E1049" s="13"/>
      <c r="F1049" s="78"/>
      <c r="G1049" s="78"/>
      <c r="H1049" s="13"/>
      <c r="I1049" s="13"/>
      <c r="J1049" s="13"/>
      <c r="K1049" s="13"/>
      <c r="L1049" s="13"/>
      <c r="M1049" s="8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</row>
    <row r="1050">
      <c r="A1050" s="13"/>
      <c r="B1050" s="13"/>
      <c r="C1050" s="13"/>
      <c r="D1050" s="13"/>
      <c r="E1050" s="13"/>
      <c r="F1050" s="78"/>
      <c r="G1050" s="78"/>
      <c r="H1050" s="13"/>
      <c r="I1050" s="13"/>
      <c r="J1050" s="13"/>
      <c r="K1050" s="13"/>
      <c r="L1050" s="13"/>
      <c r="M1050" s="8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</row>
    <row r="1051">
      <c r="A1051" s="13"/>
      <c r="B1051" s="13"/>
      <c r="C1051" s="13"/>
      <c r="D1051" s="13"/>
      <c r="E1051" s="13"/>
      <c r="F1051" s="78"/>
      <c r="G1051" s="78"/>
      <c r="H1051" s="13"/>
      <c r="I1051" s="13"/>
      <c r="J1051" s="13"/>
      <c r="K1051" s="13"/>
      <c r="L1051" s="13"/>
      <c r="M1051" s="8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</row>
    <row r="1052">
      <c r="A1052" s="13"/>
      <c r="B1052" s="13"/>
      <c r="C1052" s="13"/>
      <c r="D1052" s="13"/>
      <c r="E1052" s="13"/>
      <c r="F1052" s="78"/>
      <c r="G1052" s="78"/>
      <c r="H1052" s="13"/>
      <c r="I1052" s="13"/>
      <c r="J1052" s="13"/>
      <c r="K1052" s="13"/>
      <c r="L1052" s="13"/>
      <c r="M1052" s="8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</row>
    <row r="1053">
      <c r="A1053" s="13"/>
      <c r="B1053" s="13"/>
      <c r="C1053" s="13"/>
      <c r="D1053" s="13"/>
      <c r="E1053" s="13"/>
      <c r="F1053" s="78"/>
      <c r="G1053" s="78"/>
      <c r="H1053" s="13"/>
      <c r="I1053" s="13"/>
      <c r="J1053" s="13"/>
      <c r="K1053" s="13"/>
      <c r="L1053" s="13"/>
      <c r="M1053" s="8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</row>
    <row r="1054">
      <c r="A1054" s="13"/>
      <c r="B1054" s="13"/>
      <c r="C1054" s="13"/>
      <c r="D1054" s="13"/>
      <c r="E1054" s="13"/>
      <c r="F1054" s="78"/>
      <c r="G1054" s="78"/>
      <c r="H1054" s="13"/>
      <c r="I1054" s="13"/>
      <c r="J1054" s="13"/>
      <c r="K1054" s="13"/>
      <c r="L1054" s="13"/>
      <c r="M1054" s="8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</row>
    <row r="1055">
      <c r="A1055" s="13"/>
      <c r="B1055" s="13"/>
      <c r="C1055" s="13"/>
      <c r="D1055" s="13"/>
      <c r="E1055" s="13"/>
      <c r="F1055" s="78"/>
      <c r="G1055" s="78"/>
      <c r="H1055" s="13"/>
      <c r="I1055" s="13"/>
      <c r="J1055" s="13"/>
      <c r="K1055" s="13"/>
      <c r="L1055" s="13"/>
      <c r="M1055" s="8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</row>
    <row r="1056">
      <c r="A1056" s="13"/>
      <c r="B1056" s="13"/>
      <c r="C1056" s="13"/>
      <c r="D1056" s="13"/>
      <c r="E1056" s="13"/>
      <c r="F1056" s="78"/>
      <c r="G1056" s="78"/>
      <c r="H1056" s="13"/>
      <c r="I1056" s="13"/>
      <c r="J1056" s="13"/>
      <c r="K1056" s="13"/>
      <c r="L1056" s="13"/>
      <c r="M1056" s="8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</row>
    <row r="1057">
      <c r="A1057" s="13"/>
      <c r="B1057" s="13"/>
      <c r="C1057" s="13"/>
      <c r="D1057" s="13"/>
      <c r="E1057" s="13"/>
      <c r="F1057" s="78"/>
      <c r="G1057" s="78"/>
      <c r="H1057" s="13"/>
      <c r="I1057" s="13"/>
      <c r="J1057" s="13"/>
      <c r="K1057" s="13"/>
      <c r="L1057" s="13"/>
      <c r="M1057" s="8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</row>
    <row r="1058">
      <c r="A1058" s="13"/>
      <c r="B1058" s="13"/>
      <c r="C1058" s="13"/>
      <c r="D1058" s="13"/>
      <c r="E1058" s="13"/>
      <c r="F1058" s="78"/>
      <c r="G1058" s="78"/>
      <c r="H1058" s="13"/>
      <c r="I1058" s="13"/>
      <c r="J1058" s="13"/>
      <c r="K1058" s="13"/>
      <c r="L1058" s="13"/>
      <c r="M1058" s="8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</row>
    <row r="1059">
      <c r="A1059" s="13"/>
      <c r="B1059" s="13"/>
      <c r="C1059" s="13"/>
      <c r="D1059" s="13"/>
      <c r="E1059" s="13"/>
      <c r="F1059" s="78"/>
      <c r="G1059" s="78"/>
      <c r="H1059" s="13"/>
      <c r="I1059" s="13"/>
      <c r="J1059" s="13"/>
      <c r="K1059" s="13"/>
      <c r="L1059" s="13"/>
      <c r="M1059" s="8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</row>
    <row r="1060">
      <c r="A1060" s="13"/>
      <c r="B1060" s="13"/>
      <c r="C1060" s="13"/>
      <c r="D1060" s="13"/>
      <c r="E1060" s="13"/>
      <c r="F1060" s="78"/>
      <c r="G1060" s="78"/>
      <c r="H1060" s="13"/>
      <c r="I1060" s="13"/>
      <c r="J1060" s="13"/>
      <c r="K1060" s="13"/>
      <c r="L1060" s="13"/>
      <c r="M1060" s="8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</row>
    <row r="1061">
      <c r="A1061" s="13"/>
      <c r="B1061" s="13"/>
      <c r="C1061" s="13"/>
      <c r="D1061" s="13"/>
      <c r="E1061" s="13"/>
      <c r="F1061" s="78"/>
      <c r="G1061" s="78"/>
      <c r="H1061" s="13"/>
      <c r="I1061" s="13"/>
      <c r="J1061" s="13"/>
      <c r="K1061" s="13"/>
      <c r="L1061" s="13"/>
      <c r="M1061" s="8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</row>
    <row r="1062">
      <c r="A1062" s="13"/>
      <c r="B1062" s="13"/>
      <c r="C1062" s="13"/>
      <c r="D1062" s="13"/>
      <c r="E1062" s="13"/>
      <c r="F1062" s="78"/>
      <c r="G1062" s="78"/>
      <c r="H1062" s="13"/>
      <c r="I1062" s="13"/>
      <c r="J1062" s="13"/>
      <c r="K1062" s="13"/>
      <c r="L1062" s="13"/>
      <c r="M1062" s="8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</row>
    <row r="1063">
      <c r="A1063" s="13"/>
      <c r="B1063" s="13"/>
      <c r="C1063" s="13"/>
      <c r="D1063" s="13"/>
      <c r="E1063" s="13"/>
      <c r="F1063" s="78"/>
      <c r="G1063" s="78"/>
      <c r="H1063" s="13"/>
      <c r="I1063" s="13"/>
      <c r="J1063" s="13"/>
      <c r="K1063" s="13"/>
      <c r="L1063" s="13"/>
      <c r="M1063" s="8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</row>
    <row r="1064">
      <c r="A1064" s="13"/>
      <c r="B1064" s="13"/>
      <c r="C1064" s="13"/>
      <c r="D1064" s="13"/>
      <c r="E1064" s="13"/>
      <c r="F1064" s="78"/>
      <c r="G1064" s="78"/>
      <c r="H1064" s="13"/>
      <c r="I1064" s="13"/>
      <c r="J1064" s="13"/>
      <c r="K1064" s="13"/>
      <c r="L1064" s="13"/>
      <c r="M1064" s="8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</row>
    <row r="1065">
      <c r="A1065" s="13"/>
      <c r="B1065" s="13"/>
      <c r="C1065" s="13"/>
      <c r="D1065" s="13"/>
      <c r="E1065" s="13"/>
      <c r="F1065" s="78"/>
      <c r="G1065" s="78"/>
      <c r="H1065" s="13"/>
      <c r="I1065" s="13"/>
      <c r="J1065" s="13"/>
      <c r="K1065" s="13"/>
      <c r="L1065" s="13"/>
      <c r="M1065" s="8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</row>
    <row r="1066">
      <c r="A1066" s="13"/>
      <c r="B1066" s="13"/>
      <c r="C1066" s="13"/>
      <c r="D1066" s="13"/>
      <c r="E1066" s="13"/>
      <c r="F1066" s="78"/>
      <c r="G1066" s="78"/>
      <c r="H1066" s="13"/>
      <c r="I1066" s="13"/>
      <c r="J1066" s="13"/>
      <c r="K1066" s="13"/>
      <c r="L1066" s="13"/>
      <c r="M1066" s="8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</row>
    <row r="1067">
      <c r="A1067" s="13"/>
      <c r="B1067" s="13"/>
      <c r="C1067" s="13"/>
      <c r="D1067" s="13"/>
      <c r="E1067" s="13"/>
      <c r="F1067" s="78"/>
      <c r="G1067" s="78"/>
      <c r="H1067" s="13"/>
      <c r="I1067" s="13"/>
      <c r="J1067" s="13"/>
      <c r="K1067" s="13"/>
      <c r="L1067" s="13"/>
      <c r="M1067" s="8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</row>
    <row r="1068">
      <c r="A1068" s="13"/>
      <c r="B1068" s="13"/>
      <c r="C1068" s="13"/>
      <c r="D1068" s="13"/>
      <c r="E1068" s="13"/>
      <c r="F1068" s="78"/>
      <c r="G1068" s="78"/>
      <c r="H1068" s="13"/>
      <c r="I1068" s="13"/>
      <c r="J1068" s="13"/>
      <c r="K1068" s="13"/>
      <c r="L1068" s="13"/>
      <c r="M1068" s="8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</row>
    <row r="1069">
      <c r="A1069" s="13"/>
      <c r="B1069" s="13"/>
      <c r="C1069" s="13"/>
      <c r="D1069" s="13"/>
      <c r="E1069" s="13"/>
      <c r="F1069" s="78"/>
      <c r="G1069" s="78"/>
      <c r="H1069" s="13"/>
      <c r="I1069" s="13"/>
      <c r="J1069" s="13"/>
      <c r="K1069" s="13"/>
      <c r="L1069" s="13"/>
      <c r="M1069" s="8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</row>
    <row r="1070">
      <c r="A1070" s="13"/>
      <c r="B1070" s="13"/>
      <c r="C1070" s="13"/>
      <c r="D1070" s="13"/>
      <c r="E1070" s="13"/>
      <c r="F1070" s="78"/>
      <c r="G1070" s="78"/>
      <c r="H1070" s="13"/>
      <c r="I1070" s="13"/>
      <c r="J1070" s="13"/>
      <c r="K1070" s="13"/>
      <c r="L1070" s="13"/>
      <c r="M1070" s="8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</row>
    <row r="1071">
      <c r="A1071" s="13"/>
      <c r="B1071" s="13"/>
      <c r="C1071" s="13"/>
      <c r="D1071" s="13"/>
      <c r="E1071" s="13"/>
      <c r="F1071" s="78"/>
      <c r="G1071" s="78"/>
      <c r="H1071" s="13"/>
      <c r="I1071" s="13"/>
      <c r="J1071" s="13"/>
      <c r="K1071" s="13"/>
      <c r="L1071" s="13"/>
      <c r="M1071" s="8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</row>
    <row r="1072">
      <c r="A1072" s="13"/>
      <c r="B1072" s="13"/>
      <c r="C1072" s="13"/>
      <c r="D1072" s="13"/>
      <c r="E1072" s="13"/>
      <c r="F1072" s="78"/>
      <c r="G1072" s="78"/>
      <c r="H1072" s="13"/>
      <c r="I1072" s="13"/>
      <c r="J1072" s="13"/>
      <c r="K1072" s="13"/>
      <c r="L1072" s="13"/>
      <c r="M1072" s="8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</row>
    <row r="1073">
      <c r="A1073" s="13"/>
      <c r="B1073" s="13"/>
      <c r="C1073" s="13"/>
      <c r="D1073" s="13"/>
      <c r="E1073" s="13"/>
      <c r="F1073" s="78"/>
      <c r="G1073" s="78"/>
      <c r="H1073" s="13"/>
      <c r="I1073" s="13"/>
      <c r="J1073" s="13"/>
      <c r="K1073" s="13"/>
      <c r="L1073" s="13"/>
      <c r="M1073" s="8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</row>
    <row r="1074">
      <c r="A1074" s="13"/>
      <c r="B1074" s="13"/>
      <c r="C1074" s="13"/>
      <c r="D1074" s="13"/>
      <c r="E1074" s="13"/>
      <c r="F1074" s="78"/>
      <c r="G1074" s="78"/>
      <c r="H1074" s="13"/>
      <c r="I1074" s="13"/>
      <c r="J1074" s="13"/>
      <c r="K1074" s="13"/>
      <c r="L1074" s="13"/>
      <c r="M1074" s="8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</row>
    <row r="1075">
      <c r="A1075" s="13"/>
      <c r="B1075" s="13"/>
      <c r="C1075" s="13"/>
      <c r="D1075" s="13"/>
      <c r="E1075" s="13"/>
      <c r="F1075" s="78"/>
      <c r="G1075" s="78"/>
      <c r="H1075" s="13"/>
      <c r="I1075" s="13"/>
      <c r="J1075" s="13"/>
      <c r="K1075" s="13"/>
      <c r="L1075" s="13"/>
      <c r="M1075" s="8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</row>
    <row r="1076">
      <c r="A1076" s="13"/>
      <c r="B1076" s="13"/>
      <c r="C1076" s="13"/>
      <c r="D1076" s="13"/>
      <c r="E1076" s="13"/>
      <c r="F1076" s="78"/>
      <c r="G1076" s="78"/>
      <c r="H1076" s="13"/>
      <c r="I1076" s="13"/>
      <c r="J1076" s="13"/>
      <c r="K1076" s="13"/>
      <c r="L1076" s="13"/>
      <c r="M1076" s="8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</row>
    <row r="1077">
      <c r="A1077" s="13"/>
      <c r="B1077" s="13"/>
      <c r="C1077" s="13"/>
      <c r="D1077" s="13"/>
      <c r="E1077" s="13"/>
      <c r="F1077" s="78"/>
      <c r="G1077" s="78"/>
      <c r="H1077" s="13"/>
      <c r="I1077" s="13"/>
      <c r="J1077" s="13"/>
      <c r="K1077" s="13"/>
      <c r="L1077" s="13"/>
      <c r="M1077" s="8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</row>
    <row r="1078">
      <c r="A1078" s="13"/>
      <c r="B1078" s="13"/>
      <c r="C1078" s="13"/>
      <c r="D1078" s="13"/>
      <c r="E1078" s="13"/>
      <c r="F1078" s="78"/>
      <c r="G1078" s="78"/>
      <c r="H1078" s="13"/>
      <c r="I1078" s="13"/>
      <c r="J1078" s="13"/>
      <c r="K1078" s="13"/>
      <c r="L1078" s="13"/>
      <c r="M1078" s="8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</row>
    <row r="1079">
      <c r="A1079" s="13"/>
      <c r="B1079" s="13"/>
      <c r="C1079" s="13"/>
      <c r="D1079" s="13"/>
      <c r="E1079" s="13"/>
      <c r="F1079" s="78"/>
      <c r="G1079" s="78"/>
      <c r="H1079" s="13"/>
      <c r="I1079" s="13"/>
      <c r="J1079" s="13"/>
      <c r="K1079" s="13"/>
      <c r="L1079" s="13"/>
      <c r="M1079" s="8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</row>
    <row r="1080">
      <c r="A1080" s="13"/>
      <c r="B1080" s="13"/>
      <c r="C1080" s="13"/>
      <c r="D1080" s="13"/>
      <c r="E1080" s="13"/>
      <c r="F1080" s="78"/>
      <c r="G1080" s="78"/>
      <c r="H1080" s="13"/>
      <c r="I1080" s="13"/>
      <c r="J1080" s="13"/>
      <c r="K1080" s="13"/>
      <c r="L1080" s="13"/>
      <c r="M1080" s="8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</row>
    <row r="1081">
      <c r="A1081" s="13"/>
      <c r="B1081" s="13"/>
      <c r="C1081" s="13"/>
      <c r="D1081" s="13"/>
      <c r="E1081" s="13"/>
      <c r="F1081" s="78"/>
      <c r="G1081" s="78"/>
      <c r="H1081" s="13"/>
      <c r="I1081" s="13"/>
      <c r="J1081" s="13"/>
      <c r="K1081" s="13"/>
      <c r="L1081" s="13"/>
      <c r="M1081" s="8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</row>
    <row r="1082">
      <c r="A1082" s="13"/>
      <c r="B1082" s="13"/>
      <c r="C1082" s="13"/>
      <c r="D1082" s="13"/>
      <c r="E1082" s="13"/>
      <c r="F1082" s="78"/>
      <c r="G1082" s="78"/>
      <c r="H1082" s="13"/>
      <c r="I1082" s="13"/>
      <c r="J1082" s="13"/>
      <c r="K1082" s="13"/>
      <c r="L1082" s="13"/>
      <c r="M1082" s="8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</row>
    <row r="1083">
      <c r="A1083" s="13"/>
      <c r="B1083" s="13"/>
      <c r="C1083" s="13"/>
      <c r="D1083" s="13"/>
      <c r="E1083" s="13"/>
      <c r="F1083" s="78"/>
      <c r="G1083" s="78"/>
      <c r="H1083" s="13"/>
      <c r="I1083" s="13"/>
      <c r="J1083" s="13"/>
      <c r="K1083" s="13"/>
      <c r="L1083" s="13"/>
      <c r="M1083" s="8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</row>
    <row r="1084">
      <c r="A1084" s="13"/>
      <c r="B1084" s="13"/>
      <c r="C1084" s="13"/>
      <c r="D1084" s="13"/>
      <c r="E1084" s="13"/>
      <c r="F1084" s="78"/>
      <c r="G1084" s="78"/>
      <c r="H1084" s="13"/>
      <c r="I1084" s="13"/>
      <c r="J1084" s="13"/>
      <c r="K1084" s="13"/>
      <c r="L1084" s="13"/>
      <c r="M1084" s="8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</row>
    <row r="1085">
      <c r="A1085" s="13"/>
      <c r="B1085" s="13"/>
      <c r="C1085" s="13"/>
      <c r="D1085" s="13"/>
      <c r="E1085" s="13"/>
      <c r="F1085" s="78"/>
      <c r="G1085" s="78"/>
      <c r="H1085" s="13"/>
      <c r="I1085" s="13"/>
      <c r="J1085" s="13"/>
      <c r="K1085" s="13"/>
      <c r="L1085" s="13"/>
      <c r="M1085" s="8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</row>
    <row r="1086">
      <c r="A1086" s="13"/>
      <c r="B1086" s="13"/>
      <c r="C1086" s="13"/>
      <c r="D1086" s="13"/>
      <c r="E1086" s="13"/>
      <c r="F1086" s="78"/>
      <c r="G1086" s="78"/>
      <c r="H1086" s="13"/>
      <c r="I1086" s="13"/>
      <c r="J1086" s="13"/>
      <c r="K1086" s="13"/>
      <c r="L1086" s="13"/>
      <c r="M1086" s="8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</row>
    <row r="1087">
      <c r="A1087" s="13"/>
      <c r="B1087" s="13"/>
      <c r="C1087" s="13"/>
      <c r="D1087" s="13"/>
      <c r="E1087" s="13"/>
      <c r="F1087" s="78"/>
      <c r="G1087" s="78"/>
      <c r="H1087" s="13"/>
      <c r="I1087" s="13"/>
      <c r="J1087" s="13"/>
      <c r="K1087" s="13"/>
      <c r="L1087" s="13"/>
      <c r="M1087" s="8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</row>
    <row r="1088">
      <c r="A1088" s="13"/>
      <c r="B1088" s="13"/>
      <c r="C1088" s="13"/>
      <c r="D1088" s="13"/>
      <c r="E1088" s="13"/>
      <c r="F1088" s="78"/>
      <c r="G1088" s="78"/>
      <c r="H1088" s="13"/>
      <c r="I1088" s="13"/>
      <c r="J1088" s="13"/>
      <c r="K1088" s="13"/>
      <c r="L1088" s="13"/>
      <c r="M1088" s="8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</row>
    <row r="1089">
      <c r="A1089" s="13"/>
      <c r="B1089" s="13"/>
      <c r="C1089" s="13"/>
      <c r="D1089" s="13"/>
      <c r="E1089" s="13"/>
      <c r="F1089" s="78"/>
      <c r="G1089" s="78"/>
      <c r="H1089" s="13"/>
      <c r="I1089" s="13"/>
      <c r="J1089" s="13"/>
      <c r="K1089" s="13"/>
      <c r="L1089" s="13"/>
      <c r="M1089" s="8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</row>
    <row r="1090">
      <c r="A1090" s="13"/>
      <c r="B1090" s="13"/>
      <c r="C1090" s="13"/>
      <c r="D1090" s="13"/>
      <c r="E1090" s="13"/>
      <c r="F1090" s="78"/>
      <c r="G1090" s="78"/>
      <c r="H1090" s="13"/>
      <c r="I1090" s="13"/>
      <c r="J1090" s="13"/>
      <c r="K1090" s="13"/>
      <c r="L1090" s="13"/>
      <c r="M1090" s="8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</row>
    <row r="1091">
      <c r="A1091" s="13"/>
      <c r="B1091" s="13"/>
      <c r="C1091" s="13"/>
      <c r="D1091" s="13"/>
      <c r="E1091" s="13"/>
      <c r="F1091" s="78"/>
      <c r="G1091" s="78"/>
      <c r="H1091" s="13"/>
      <c r="I1091" s="13"/>
      <c r="J1091" s="13"/>
      <c r="K1091" s="13"/>
      <c r="L1091" s="13"/>
      <c r="M1091" s="8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</row>
    <row r="1092">
      <c r="A1092" s="13"/>
      <c r="B1092" s="13"/>
      <c r="C1092" s="13"/>
      <c r="D1092" s="13"/>
      <c r="E1092" s="13"/>
      <c r="F1092" s="78"/>
      <c r="G1092" s="78"/>
      <c r="H1092" s="13"/>
      <c r="I1092" s="13"/>
      <c r="J1092" s="13"/>
      <c r="K1092" s="13"/>
      <c r="L1092" s="13"/>
      <c r="M1092" s="8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</row>
    <row r="1093">
      <c r="A1093" s="13"/>
      <c r="B1093" s="13"/>
      <c r="C1093" s="13"/>
      <c r="D1093" s="13"/>
      <c r="E1093" s="13"/>
      <c r="F1093" s="78"/>
      <c r="G1093" s="78"/>
      <c r="H1093" s="13"/>
      <c r="I1093" s="13"/>
      <c r="J1093" s="13"/>
      <c r="K1093" s="13"/>
      <c r="L1093" s="13"/>
      <c r="M1093" s="8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</row>
    <row r="1094">
      <c r="A1094" s="13"/>
      <c r="B1094" s="13"/>
      <c r="C1094" s="13"/>
      <c r="D1094" s="13"/>
      <c r="E1094" s="13"/>
      <c r="F1094" s="78"/>
      <c r="G1094" s="78"/>
      <c r="H1094" s="13"/>
      <c r="I1094" s="13"/>
      <c r="J1094" s="13"/>
      <c r="K1094" s="13"/>
      <c r="L1094" s="13"/>
      <c r="M1094" s="8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</row>
    <row r="1095">
      <c r="A1095" s="13"/>
      <c r="B1095" s="13"/>
      <c r="C1095" s="13"/>
      <c r="D1095" s="13"/>
      <c r="E1095" s="13"/>
      <c r="F1095" s="78"/>
      <c r="G1095" s="78"/>
      <c r="H1095" s="13"/>
      <c r="I1095" s="13"/>
      <c r="J1095" s="13"/>
      <c r="K1095" s="13"/>
      <c r="L1095" s="13"/>
      <c r="M1095" s="8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</row>
    <row r="1096">
      <c r="A1096" s="13"/>
      <c r="B1096" s="13"/>
      <c r="C1096" s="13"/>
      <c r="D1096" s="13"/>
      <c r="E1096" s="13"/>
      <c r="F1096" s="78"/>
      <c r="G1096" s="78"/>
      <c r="H1096" s="13"/>
      <c r="I1096" s="13"/>
      <c r="J1096" s="13"/>
      <c r="K1096" s="13"/>
      <c r="L1096" s="13"/>
      <c r="M1096" s="8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</row>
    <row r="1097">
      <c r="A1097" s="13"/>
      <c r="B1097" s="13"/>
      <c r="C1097" s="13"/>
      <c r="D1097" s="13"/>
      <c r="E1097" s="13"/>
      <c r="F1097" s="78"/>
      <c r="G1097" s="78"/>
      <c r="H1097" s="13"/>
      <c r="I1097" s="13"/>
      <c r="J1097" s="13"/>
      <c r="K1097" s="13"/>
      <c r="L1097" s="13"/>
      <c r="M1097" s="8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</row>
    <row r="1098">
      <c r="A1098" s="13"/>
      <c r="B1098" s="13"/>
      <c r="C1098" s="13"/>
      <c r="D1098" s="13"/>
      <c r="E1098" s="13"/>
      <c r="F1098" s="78"/>
      <c r="G1098" s="78"/>
      <c r="H1098" s="13"/>
      <c r="I1098" s="13"/>
      <c r="J1098" s="13"/>
      <c r="K1098" s="13"/>
      <c r="L1098" s="13"/>
      <c r="M1098" s="8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</row>
    <row r="1099">
      <c r="A1099" s="13"/>
      <c r="B1099" s="13"/>
      <c r="C1099" s="13"/>
      <c r="D1099" s="13"/>
      <c r="E1099" s="13"/>
      <c r="F1099" s="78"/>
      <c r="G1099" s="78"/>
      <c r="H1099" s="13"/>
      <c r="I1099" s="13"/>
      <c r="J1099" s="13"/>
      <c r="K1099" s="13"/>
      <c r="L1099" s="13"/>
      <c r="M1099" s="8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</row>
    <row r="1100">
      <c r="A1100" s="13"/>
      <c r="B1100" s="13"/>
      <c r="C1100" s="13"/>
      <c r="D1100" s="13"/>
      <c r="E1100" s="13"/>
      <c r="F1100" s="78"/>
      <c r="G1100" s="78"/>
      <c r="H1100" s="13"/>
      <c r="I1100" s="13"/>
      <c r="J1100" s="13"/>
      <c r="K1100" s="13"/>
      <c r="L1100" s="13"/>
      <c r="M1100" s="8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</row>
    <row r="1101">
      <c r="A1101" s="13"/>
      <c r="B1101" s="13"/>
      <c r="C1101" s="13"/>
      <c r="D1101" s="13"/>
      <c r="E1101" s="13"/>
      <c r="F1101" s="78"/>
      <c r="G1101" s="78"/>
      <c r="H1101" s="13"/>
      <c r="I1101" s="13"/>
      <c r="J1101" s="13"/>
      <c r="K1101" s="13"/>
      <c r="L1101" s="13"/>
      <c r="M1101" s="8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</row>
    <row r="1102">
      <c r="A1102" s="13"/>
      <c r="B1102" s="13"/>
      <c r="C1102" s="13"/>
      <c r="D1102" s="13"/>
      <c r="E1102" s="13"/>
      <c r="F1102" s="78"/>
      <c r="G1102" s="78"/>
      <c r="H1102" s="13"/>
      <c r="I1102" s="13"/>
      <c r="J1102" s="13"/>
      <c r="K1102" s="13"/>
      <c r="L1102" s="13"/>
      <c r="M1102" s="8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</row>
    <row r="1103">
      <c r="A1103" s="13"/>
      <c r="B1103" s="13"/>
      <c r="C1103" s="13"/>
      <c r="D1103" s="13"/>
      <c r="E1103" s="13"/>
      <c r="F1103" s="78"/>
      <c r="G1103" s="78"/>
      <c r="H1103" s="13"/>
      <c r="I1103" s="13"/>
      <c r="J1103" s="13"/>
      <c r="K1103" s="13"/>
      <c r="L1103" s="13"/>
      <c r="M1103" s="8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</row>
    <row r="1104">
      <c r="A1104" s="13"/>
      <c r="B1104" s="13"/>
      <c r="C1104" s="13"/>
      <c r="D1104" s="13"/>
      <c r="E1104" s="13"/>
      <c r="F1104" s="78"/>
      <c r="G1104" s="78"/>
      <c r="H1104" s="13"/>
      <c r="I1104" s="13"/>
      <c r="J1104" s="13"/>
      <c r="K1104" s="13"/>
      <c r="L1104" s="13"/>
      <c r="M1104" s="8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</row>
    <row r="1105">
      <c r="A1105" s="13"/>
      <c r="B1105" s="13"/>
      <c r="C1105" s="13"/>
      <c r="D1105" s="13"/>
      <c r="E1105" s="13"/>
      <c r="F1105" s="78"/>
      <c r="G1105" s="78"/>
      <c r="H1105" s="13"/>
      <c r="I1105" s="13"/>
      <c r="J1105" s="13"/>
      <c r="K1105" s="13"/>
      <c r="L1105" s="13"/>
      <c r="M1105" s="8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</row>
    <row r="1106">
      <c r="A1106" s="13"/>
      <c r="B1106" s="13"/>
      <c r="C1106" s="13"/>
      <c r="D1106" s="13"/>
      <c r="E1106" s="13"/>
      <c r="F1106" s="78"/>
      <c r="G1106" s="78"/>
      <c r="H1106" s="13"/>
      <c r="I1106" s="13"/>
      <c r="J1106" s="13"/>
      <c r="K1106" s="13"/>
      <c r="L1106" s="13"/>
      <c r="M1106" s="8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</row>
    <row r="1107">
      <c r="A1107" s="13"/>
      <c r="B1107" s="13"/>
      <c r="C1107" s="13"/>
      <c r="D1107" s="13"/>
      <c r="E1107" s="13"/>
      <c r="F1107" s="78"/>
      <c r="G1107" s="78"/>
      <c r="H1107" s="13"/>
      <c r="I1107" s="13"/>
      <c r="J1107" s="13"/>
      <c r="K1107" s="13"/>
      <c r="L1107" s="13"/>
      <c r="M1107" s="8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</row>
    <row r="1108">
      <c r="A1108" s="13"/>
      <c r="B1108" s="13"/>
      <c r="C1108" s="13"/>
      <c r="D1108" s="13"/>
      <c r="E1108" s="13"/>
      <c r="F1108" s="78"/>
      <c r="G1108" s="78"/>
      <c r="H1108" s="13"/>
      <c r="I1108" s="13"/>
      <c r="J1108" s="13"/>
      <c r="K1108" s="13"/>
      <c r="L1108" s="13"/>
      <c r="M1108" s="8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</row>
    <row r="1109">
      <c r="A1109" s="13"/>
      <c r="B1109" s="13"/>
      <c r="C1109" s="13"/>
      <c r="D1109" s="13"/>
      <c r="E1109" s="13"/>
      <c r="F1109" s="78"/>
      <c r="G1109" s="78"/>
      <c r="H1109" s="13"/>
      <c r="I1109" s="13"/>
      <c r="J1109" s="13"/>
      <c r="K1109" s="13"/>
      <c r="L1109" s="13"/>
      <c r="M1109" s="8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</row>
    <row r="1110">
      <c r="A1110" s="13"/>
      <c r="B1110" s="13"/>
      <c r="C1110" s="13"/>
      <c r="D1110" s="13"/>
      <c r="E1110" s="13"/>
      <c r="F1110" s="78"/>
      <c r="G1110" s="78"/>
      <c r="H1110" s="13"/>
      <c r="I1110" s="13"/>
      <c r="J1110" s="13"/>
      <c r="K1110" s="13"/>
      <c r="L1110" s="13"/>
      <c r="M1110" s="8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</row>
    <row r="1111">
      <c r="A1111" s="13"/>
      <c r="B1111" s="13"/>
      <c r="C1111" s="13"/>
      <c r="D1111" s="13"/>
      <c r="E1111" s="13"/>
      <c r="F1111" s="78"/>
      <c r="G1111" s="78"/>
      <c r="H1111" s="13"/>
      <c r="I1111" s="13"/>
      <c r="J1111" s="13"/>
      <c r="K1111" s="13"/>
      <c r="L1111" s="13"/>
      <c r="M1111" s="8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</row>
    <row r="1112">
      <c r="A1112" s="13"/>
      <c r="B1112" s="13"/>
      <c r="C1112" s="13"/>
      <c r="D1112" s="13"/>
      <c r="E1112" s="13"/>
      <c r="F1112" s="78"/>
      <c r="G1112" s="78"/>
      <c r="H1112" s="13"/>
      <c r="I1112" s="13"/>
      <c r="J1112" s="13"/>
      <c r="K1112" s="13"/>
      <c r="L1112" s="13"/>
      <c r="M1112" s="8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</row>
    <row r="1113">
      <c r="A1113" s="13"/>
      <c r="B1113" s="13"/>
      <c r="C1113" s="13"/>
      <c r="D1113" s="13"/>
      <c r="E1113" s="13"/>
      <c r="F1113" s="78"/>
      <c r="G1113" s="78"/>
      <c r="H1113" s="13"/>
      <c r="I1113" s="13"/>
      <c r="J1113" s="13"/>
      <c r="K1113" s="13"/>
      <c r="L1113" s="13"/>
      <c r="M1113" s="8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</row>
    <row r="1114">
      <c r="A1114" s="13"/>
      <c r="B1114" s="13"/>
      <c r="C1114" s="13"/>
      <c r="D1114" s="13"/>
      <c r="E1114" s="13"/>
      <c r="F1114" s="78"/>
      <c r="G1114" s="78"/>
      <c r="H1114" s="13"/>
      <c r="I1114" s="13"/>
      <c r="J1114" s="13"/>
      <c r="K1114" s="13"/>
      <c r="L1114" s="13"/>
      <c r="M1114" s="8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</row>
    <row r="1115">
      <c r="A1115" s="13"/>
      <c r="B1115" s="13"/>
      <c r="C1115" s="13"/>
      <c r="D1115" s="13"/>
      <c r="E1115" s="13"/>
      <c r="F1115" s="78"/>
      <c r="G1115" s="78"/>
      <c r="H1115" s="13"/>
      <c r="I1115" s="13"/>
      <c r="J1115" s="13"/>
      <c r="K1115" s="13"/>
      <c r="L1115" s="13"/>
      <c r="M1115" s="8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</row>
    <row r="1116">
      <c r="A1116" s="13"/>
      <c r="B1116" s="13"/>
      <c r="C1116" s="13"/>
      <c r="D1116" s="13"/>
      <c r="E1116" s="13"/>
      <c r="F1116" s="78"/>
      <c r="G1116" s="78"/>
      <c r="H1116" s="13"/>
      <c r="I1116" s="13"/>
      <c r="J1116" s="13"/>
      <c r="K1116" s="13"/>
      <c r="L1116" s="13"/>
      <c r="M1116" s="8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</row>
    <row r="1117">
      <c r="A1117" s="13"/>
      <c r="B1117" s="13"/>
      <c r="C1117" s="13"/>
      <c r="D1117" s="13"/>
      <c r="E1117" s="13"/>
      <c r="F1117" s="78"/>
      <c r="G1117" s="78"/>
      <c r="H1117" s="13"/>
      <c r="I1117" s="13"/>
      <c r="J1117" s="13"/>
      <c r="K1117" s="13"/>
      <c r="L1117" s="13"/>
      <c r="M1117" s="8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</row>
    <row r="1118">
      <c r="A1118" s="13"/>
      <c r="B1118" s="13"/>
      <c r="C1118" s="13"/>
      <c r="D1118" s="13"/>
      <c r="E1118" s="13"/>
      <c r="F1118" s="78"/>
      <c r="G1118" s="78"/>
      <c r="H1118" s="13"/>
      <c r="I1118" s="13"/>
      <c r="J1118" s="13"/>
      <c r="K1118" s="13"/>
      <c r="L1118" s="13"/>
      <c r="M1118" s="8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</row>
    <row r="1119">
      <c r="A1119" s="13"/>
      <c r="B1119" s="13"/>
      <c r="C1119" s="13"/>
      <c r="D1119" s="13"/>
      <c r="E1119" s="13"/>
      <c r="F1119" s="78"/>
      <c r="G1119" s="78"/>
      <c r="H1119" s="13"/>
      <c r="I1119" s="13"/>
      <c r="J1119" s="13"/>
      <c r="K1119" s="13"/>
      <c r="L1119" s="13"/>
      <c r="M1119" s="8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</row>
    <row r="1120">
      <c r="A1120" s="13"/>
      <c r="B1120" s="13"/>
      <c r="C1120" s="13"/>
      <c r="D1120" s="13"/>
      <c r="E1120" s="13"/>
      <c r="F1120" s="78"/>
      <c r="G1120" s="78"/>
      <c r="H1120" s="13"/>
      <c r="I1120" s="13"/>
      <c r="J1120" s="13"/>
      <c r="K1120" s="13"/>
      <c r="L1120" s="13"/>
      <c r="M1120" s="8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</row>
    <row r="1121">
      <c r="A1121" s="13"/>
      <c r="B1121" s="13"/>
      <c r="C1121" s="13"/>
      <c r="D1121" s="13"/>
      <c r="E1121" s="13"/>
      <c r="F1121" s="78"/>
      <c r="G1121" s="78"/>
      <c r="H1121" s="13"/>
      <c r="I1121" s="13"/>
      <c r="J1121" s="13"/>
      <c r="K1121" s="13"/>
      <c r="L1121" s="13"/>
      <c r="M1121" s="8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</row>
    <row r="1122">
      <c r="A1122" s="13"/>
      <c r="B1122" s="13"/>
      <c r="C1122" s="13"/>
      <c r="D1122" s="13"/>
      <c r="E1122" s="13"/>
      <c r="F1122" s="78"/>
      <c r="G1122" s="78"/>
      <c r="H1122" s="13"/>
      <c r="I1122" s="13"/>
      <c r="J1122" s="13"/>
      <c r="K1122" s="13"/>
      <c r="L1122" s="13"/>
      <c r="M1122" s="8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</row>
    <row r="1123">
      <c r="A1123" s="13"/>
      <c r="B1123" s="13"/>
      <c r="C1123" s="13"/>
      <c r="D1123" s="13"/>
      <c r="E1123" s="13"/>
      <c r="F1123" s="78"/>
      <c r="G1123" s="78"/>
      <c r="H1123" s="13"/>
      <c r="I1123" s="13"/>
      <c r="J1123" s="13"/>
      <c r="K1123" s="13"/>
      <c r="L1123" s="13"/>
      <c r="M1123" s="8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</row>
    <row r="1124">
      <c r="A1124" s="13"/>
      <c r="B1124" s="13"/>
      <c r="C1124" s="13"/>
      <c r="D1124" s="13"/>
      <c r="E1124" s="13"/>
      <c r="F1124" s="78"/>
      <c r="G1124" s="78"/>
      <c r="H1124" s="13"/>
      <c r="I1124" s="13"/>
      <c r="J1124" s="13"/>
      <c r="K1124" s="13"/>
      <c r="L1124" s="13"/>
      <c r="M1124" s="8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</row>
    <row r="1125">
      <c r="A1125" s="13"/>
      <c r="B1125" s="13"/>
      <c r="C1125" s="13"/>
      <c r="D1125" s="13"/>
      <c r="E1125" s="13"/>
      <c r="F1125" s="78"/>
      <c r="G1125" s="78"/>
      <c r="H1125" s="13"/>
      <c r="I1125" s="13"/>
      <c r="J1125" s="13"/>
      <c r="K1125" s="13"/>
      <c r="L1125" s="13"/>
      <c r="M1125" s="8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</row>
    <row r="1126">
      <c r="A1126" s="13"/>
      <c r="B1126" s="13"/>
      <c r="C1126" s="13"/>
      <c r="D1126" s="13"/>
      <c r="E1126" s="13"/>
      <c r="F1126" s="78"/>
      <c r="G1126" s="78"/>
      <c r="H1126" s="13"/>
      <c r="I1126" s="13"/>
      <c r="J1126" s="13"/>
      <c r="K1126" s="13"/>
      <c r="L1126" s="13"/>
      <c r="M1126" s="8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</row>
    <row r="1127">
      <c r="A1127" s="13"/>
      <c r="B1127" s="13"/>
      <c r="C1127" s="13"/>
      <c r="D1127" s="13"/>
      <c r="E1127" s="13"/>
      <c r="F1127" s="78"/>
      <c r="G1127" s="78"/>
      <c r="H1127" s="13"/>
      <c r="I1127" s="13"/>
      <c r="J1127" s="13"/>
      <c r="K1127" s="13"/>
      <c r="L1127" s="13"/>
      <c r="M1127" s="8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</row>
    <row r="1128">
      <c r="A1128" s="13"/>
      <c r="B1128" s="13"/>
      <c r="C1128" s="13"/>
      <c r="D1128" s="13"/>
      <c r="E1128" s="13"/>
      <c r="F1128" s="78"/>
      <c r="G1128" s="78"/>
      <c r="H1128" s="13"/>
      <c r="I1128" s="13"/>
      <c r="J1128" s="13"/>
      <c r="K1128" s="13"/>
      <c r="L1128" s="13"/>
      <c r="M1128" s="8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</row>
    <row r="1129">
      <c r="A1129" s="13"/>
      <c r="B1129" s="13"/>
      <c r="C1129" s="13"/>
      <c r="D1129" s="13"/>
      <c r="E1129" s="13"/>
      <c r="F1129" s="78"/>
      <c r="G1129" s="78"/>
      <c r="H1129" s="13"/>
      <c r="I1129" s="13"/>
      <c r="J1129" s="13"/>
      <c r="K1129" s="13"/>
      <c r="L1129" s="13"/>
      <c r="M1129" s="8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</row>
    <row r="1130">
      <c r="A1130" s="13"/>
      <c r="B1130" s="13"/>
      <c r="C1130" s="13"/>
      <c r="D1130" s="13"/>
      <c r="E1130" s="13"/>
      <c r="F1130" s="78"/>
      <c r="G1130" s="78"/>
      <c r="H1130" s="13"/>
      <c r="I1130" s="13"/>
      <c r="J1130" s="13"/>
      <c r="K1130" s="13"/>
      <c r="L1130" s="13"/>
      <c r="M1130" s="8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</row>
    <row r="1131">
      <c r="A1131" s="13"/>
      <c r="B1131" s="13"/>
      <c r="C1131" s="13"/>
      <c r="D1131" s="13"/>
      <c r="E1131" s="13"/>
      <c r="F1131" s="78"/>
      <c r="G1131" s="78"/>
      <c r="H1131" s="13"/>
      <c r="I1131" s="13"/>
      <c r="J1131" s="13"/>
      <c r="K1131" s="13"/>
      <c r="L1131" s="13"/>
      <c r="M1131" s="8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</row>
    <row r="1132">
      <c r="A1132" s="13"/>
      <c r="B1132" s="13"/>
      <c r="C1132" s="13"/>
      <c r="D1132" s="13"/>
      <c r="E1132" s="13"/>
      <c r="F1132" s="78"/>
      <c r="G1132" s="78"/>
      <c r="H1132" s="13"/>
      <c r="I1132" s="13"/>
      <c r="J1132" s="13"/>
      <c r="K1132" s="13"/>
      <c r="L1132" s="13"/>
      <c r="M1132" s="8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</row>
    <row r="1133">
      <c r="A1133" s="13"/>
      <c r="B1133" s="13"/>
      <c r="C1133" s="13"/>
      <c r="D1133" s="13"/>
      <c r="E1133" s="13"/>
      <c r="F1133" s="78"/>
      <c r="G1133" s="78"/>
      <c r="H1133" s="13"/>
      <c r="I1133" s="13"/>
      <c r="J1133" s="13"/>
      <c r="K1133" s="13"/>
      <c r="L1133" s="13"/>
      <c r="M1133" s="8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</row>
    <row r="1134">
      <c r="A1134" s="13"/>
      <c r="B1134" s="13"/>
      <c r="C1134" s="13"/>
      <c r="D1134" s="13"/>
      <c r="E1134" s="13"/>
      <c r="F1134" s="78"/>
      <c r="G1134" s="78"/>
      <c r="H1134" s="13"/>
      <c r="I1134" s="13"/>
      <c r="J1134" s="13"/>
      <c r="K1134" s="13"/>
      <c r="L1134" s="13"/>
      <c r="M1134" s="8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</row>
    <row r="1135">
      <c r="A1135" s="13"/>
      <c r="B1135" s="13"/>
      <c r="C1135" s="13"/>
      <c r="D1135" s="13"/>
      <c r="E1135" s="13"/>
      <c r="F1135" s="78"/>
      <c r="G1135" s="78"/>
      <c r="H1135" s="13"/>
      <c r="I1135" s="13"/>
      <c r="J1135" s="13"/>
      <c r="K1135" s="13"/>
      <c r="L1135" s="13"/>
      <c r="M1135" s="8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</row>
    <row r="1136">
      <c r="A1136" s="13"/>
      <c r="B1136" s="13"/>
      <c r="C1136" s="13"/>
      <c r="D1136" s="13"/>
      <c r="E1136" s="13"/>
      <c r="F1136" s="78"/>
      <c r="G1136" s="78"/>
      <c r="H1136" s="13"/>
      <c r="I1136" s="13"/>
      <c r="J1136" s="13"/>
      <c r="K1136" s="13"/>
      <c r="L1136" s="13"/>
      <c r="M1136" s="8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</row>
    <row r="1137">
      <c r="A1137" s="13"/>
      <c r="B1137" s="13"/>
      <c r="C1137" s="13"/>
      <c r="D1137" s="13"/>
      <c r="E1137" s="13"/>
      <c r="F1137" s="78"/>
      <c r="G1137" s="78"/>
      <c r="H1137" s="13"/>
      <c r="I1137" s="13"/>
      <c r="J1137" s="13"/>
      <c r="K1137" s="13"/>
      <c r="L1137" s="13"/>
      <c r="M1137" s="8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</row>
    <row r="1138">
      <c r="A1138" s="13"/>
      <c r="B1138" s="13"/>
      <c r="C1138" s="13"/>
      <c r="D1138" s="13"/>
      <c r="E1138" s="13"/>
      <c r="F1138" s="78"/>
      <c r="G1138" s="78"/>
      <c r="H1138" s="13"/>
      <c r="I1138" s="13"/>
      <c r="J1138" s="13"/>
      <c r="K1138" s="13"/>
      <c r="L1138" s="13"/>
      <c r="M1138" s="8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</row>
    <row r="1139">
      <c r="A1139" s="13"/>
      <c r="B1139" s="13"/>
      <c r="C1139" s="13"/>
      <c r="D1139" s="13"/>
      <c r="E1139" s="13"/>
      <c r="F1139" s="78"/>
      <c r="G1139" s="78"/>
      <c r="H1139" s="13"/>
      <c r="I1139" s="13"/>
      <c r="J1139" s="13"/>
      <c r="K1139" s="13"/>
      <c r="L1139" s="13"/>
      <c r="M1139" s="8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</row>
    <row r="1140">
      <c r="A1140" s="13"/>
      <c r="B1140" s="13"/>
      <c r="C1140" s="13"/>
      <c r="D1140" s="13"/>
      <c r="E1140" s="13"/>
      <c r="F1140" s="78"/>
      <c r="G1140" s="78"/>
      <c r="H1140" s="13"/>
      <c r="I1140" s="13"/>
      <c r="J1140" s="13"/>
      <c r="K1140" s="13"/>
      <c r="L1140" s="13"/>
      <c r="M1140" s="8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</row>
    <row r="1141">
      <c r="A1141" s="13"/>
      <c r="B1141" s="13"/>
      <c r="C1141" s="13"/>
      <c r="D1141" s="13"/>
      <c r="E1141" s="13"/>
      <c r="F1141" s="78"/>
      <c r="G1141" s="78"/>
      <c r="H1141" s="13"/>
      <c r="I1141" s="13"/>
      <c r="J1141" s="13"/>
      <c r="K1141" s="13"/>
      <c r="L1141" s="13"/>
      <c r="M1141" s="8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</row>
    <row r="1142">
      <c r="A1142" s="13"/>
      <c r="B1142" s="13"/>
      <c r="C1142" s="13"/>
      <c r="D1142" s="13"/>
      <c r="E1142" s="13"/>
      <c r="F1142" s="78"/>
      <c r="G1142" s="78"/>
      <c r="H1142" s="13"/>
      <c r="I1142" s="13"/>
      <c r="J1142" s="13"/>
      <c r="K1142" s="13"/>
      <c r="L1142" s="13"/>
      <c r="M1142" s="8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</row>
    <row r="1143">
      <c r="A1143" s="13"/>
      <c r="B1143" s="13"/>
      <c r="C1143" s="13"/>
      <c r="D1143" s="13"/>
      <c r="E1143" s="13"/>
      <c r="F1143" s="78"/>
      <c r="G1143" s="78"/>
      <c r="H1143" s="13"/>
      <c r="I1143" s="13"/>
      <c r="J1143" s="13"/>
      <c r="K1143" s="13"/>
      <c r="L1143" s="13"/>
      <c r="M1143" s="8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</row>
    <row r="1144">
      <c r="A1144" s="13"/>
      <c r="B1144" s="13"/>
      <c r="C1144" s="13"/>
      <c r="D1144" s="13"/>
      <c r="E1144" s="13"/>
      <c r="F1144" s="78"/>
      <c r="G1144" s="78"/>
      <c r="H1144" s="13"/>
      <c r="I1144" s="13"/>
      <c r="J1144" s="13"/>
      <c r="K1144" s="13"/>
      <c r="L1144" s="13"/>
      <c r="M1144" s="8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</row>
    <row r="1145">
      <c r="A1145" s="13"/>
      <c r="B1145" s="13"/>
      <c r="C1145" s="13"/>
      <c r="D1145" s="13"/>
      <c r="E1145" s="13"/>
      <c r="F1145" s="78"/>
      <c r="G1145" s="78"/>
      <c r="H1145" s="13"/>
      <c r="I1145" s="13"/>
      <c r="J1145" s="13"/>
      <c r="K1145" s="13"/>
      <c r="L1145" s="13"/>
      <c r="M1145" s="8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</row>
    <row r="1146">
      <c r="A1146" s="13"/>
      <c r="B1146" s="13"/>
      <c r="C1146" s="13"/>
      <c r="D1146" s="13"/>
      <c r="E1146" s="13"/>
      <c r="F1146" s="78"/>
      <c r="G1146" s="78"/>
      <c r="H1146" s="13"/>
      <c r="I1146" s="13"/>
      <c r="J1146" s="13"/>
      <c r="K1146" s="13"/>
      <c r="L1146" s="13"/>
      <c r="M1146" s="8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</row>
    <row r="1147">
      <c r="A1147" s="13"/>
      <c r="B1147" s="13"/>
      <c r="C1147" s="13"/>
      <c r="D1147" s="13"/>
      <c r="E1147" s="13"/>
      <c r="F1147" s="78"/>
      <c r="G1147" s="78"/>
      <c r="H1147" s="13"/>
      <c r="I1147" s="13"/>
      <c r="J1147" s="13"/>
      <c r="K1147" s="13"/>
      <c r="L1147" s="13"/>
      <c r="M1147" s="8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</row>
    <row r="1148">
      <c r="A1148" s="13"/>
      <c r="B1148" s="13"/>
      <c r="C1148" s="13"/>
      <c r="D1148" s="13"/>
      <c r="E1148" s="13"/>
      <c r="F1148" s="78"/>
      <c r="G1148" s="78"/>
      <c r="H1148" s="13"/>
      <c r="I1148" s="13"/>
      <c r="J1148" s="13"/>
      <c r="K1148" s="13"/>
      <c r="L1148" s="13"/>
      <c r="M1148" s="8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</row>
    <row r="1149">
      <c r="A1149" s="13"/>
      <c r="B1149" s="13"/>
      <c r="C1149" s="13"/>
      <c r="D1149" s="13"/>
      <c r="E1149" s="13"/>
      <c r="F1149" s="78"/>
      <c r="G1149" s="78"/>
      <c r="H1149" s="13"/>
      <c r="I1149" s="13"/>
      <c r="J1149" s="13"/>
      <c r="K1149" s="13"/>
      <c r="L1149" s="13"/>
      <c r="M1149" s="8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</row>
    <row r="1150">
      <c r="A1150" s="13"/>
      <c r="B1150" s="13"/>
      <c r="C1150" s="13"/>
      <c r="D1150" s="13"/>
      <c r="E1150" s="13"/>
      <c r="F1150" s="78"/>
      <c r="G1150" s="78"/>
      <c r="H1150" s="13"/>
      <c r="I1150" s="13"/>
      <c r="J1150" s="13"/>
      <c r="K1150" s="13"/>
      <c r="L1150" s="13"/>
      <c r="M1150" s="8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</row>
    <row r="1151">
      <c r="A1151" s="13"/>
      <c r="B1151" s="13"/>
      <c r="C1151" s="13"/>
      <c r="D1151" s="13"/>
      <c r="E1151" s="13"/>
      <c r="F1151" s="78"/>
      <c r="G1151" s="78"/>
      <c r="H1151" s="13"/>
      <c r="I1151" s="13"/>
      <c r="J1151" s="13"/>
      <c r="K1151" s="13"/>
      <c r="L1151" s="13"/>
      <c r="M1151" s="8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</row>
    <row r="1152">
      <c r="A1152" s="13"/>
      <c r="B1152" s="13"/>
      <c r="C1152" s="13"/>
      <c r="D1152" s="13"/>
      <c r="E1152" s="13"/>
      <c r="F1152" s="78"/>
      <c r="G1152" s="78"/>
      <c r="H1152" s="13"/>
      <c r="I1152" s="13"/>
      <c r="J1152" s="13"/>
      <c r="K1152" s="13"/>
      <c r="L1152" s="13"/>
      <c r="M1152" s="8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</row>
    <row r="1153">
      <c r="A1153" s="13"/>
      <c r="B1153" s="13"/>
      <c r="C1153" s="13"/>
      <c r="D1153" s="13"/>
      <c r="E1153" s="13"/>
      <c r="F1153" s="78"/>
      <c r="G1153" s="78"/>
      <c r="H1153" s="13"/>
      <c r="I1153" s="13"/>
      <c r="J1153" s="13"/>
      <c r="K1153" s="13"/>
      <c r="L1153" s="13"/>
      <c r="M1153" s="8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</row>
    <row r="1154">
      <c r="A1154" s="13"/>
      <c r="B1154" s="13"/>
      <c r="C1154" s="13"/>
      <c r="D1154" s="13"/>
      <c r="E1154" s="13"/>
      <c r="F1154" s="78"/>
      <c r="G1154" s="78"/>
      <c r="H1154" s="13"/>
      <c r="I1154" s="13"/>
      <c r="J1154" s="13"/>
      <c r="K1154" s="13"/>
      <c r="L1154" s="13"/>
      <c r="M1154" s="8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</row>
    <row r="1155">
      <c r="A1155" s="13"/>
      <c r="B1155" s="13"/>
      <c r="C1155" s="13"/>
      <c r="D1155" s="13"/>
      <c r="E1155" s="13"/>
      <c r="F1155" s="78"/>
      <c r="G1155" s="78"/>
      <c r="H1155" s="13"/>
      <c r="I1155" s="13"/>
      <c r="J1155" s="13"/>
      <c r="K1155" s="13"/>
      <c r="L1155" s="13"/>
      <c r="M1155" s="8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</row>
    <row r="1156">
      <c r="A1156" s="13"/>
      <c r="B1156" s="13"/>
      <c r="C1156" s="13"/>
      <c r="D1156" s="13"/>
      <c r="E1156" s="13"/>
      <c r="F1156" s="81"/>
      <c r="G1156" s="81"/>
      <c r="H1156" s="13"/>
      <c r="I1156" s="13"/>
      <c r="J1156" s="13"/>
      <c r="K1156" s="13"/>
      <c r="L1156" s="13"/>
      <c r="M1156" s="8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</row>
    <row r="1157">
      <c r="A1157" s="13"/>
      <c r="B1157" s="13"/>
      <c r="C1157" s="13"/>
      <c r="D1157" s="13"/>
      <c r="E1157" s="13"/>
      <c r="F1157" s="78"/>
      <c r="G1157" s="78"/>
      <c r="H1157" s="13"/>
      <c r="I1157" s="13"/>
      <c r="J1157" s="13"/>
      <c r="K1157" s="13"/>
      <c r="L1157" s="13"/>
      <c r="M1157" s="8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</row>
    <row r="1158">
      <c r="A1158" s="13"/>
      <c r="B1158" s="13"/>
      <c r="C1158" s="13"/>
      <c r="D1158" s="13"/>
      <c r="E1158" s="13"/>
      <c r="F1158" s="78"/>
      <c r="G1158" s="78"/>
      <c r="H1158" s="13"/>
      <c r="I1158" s="13"/>
      <c r="J1158" s="13"/>
      <c r="K1158" s="13"/>
      <c r="L1158" s="13"/>
      <c r="M1158" s="8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</row>
    <row r="1159">
      <c r="A1159" s="13"/>
      <c r="B1159" s="13"/>
      <c r="C1159" s="13"/>
      <c r="D1159" s="13"/>
      <c r="E1159" s="13"/>
      <c r="F1159" s="78"/>
      <c r="G1159" s="78"/>
      <c r="H1159" s="13"/>
      <c r="I1159" s="13"/>
      <c r="J1159" s="13"/>
      <c r="K1159" s="13"/>
      <c r="L1159" s="13"/>
      <c r="M1159" s="8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</row>
    <row r="1160">
      <c r="A1160" s="13"/>
      <c r="B1160" s="13"/>
      <c r="C1160" s="13"/>
      <c r="D1160" s="13"/>
      <c r="E1160" s="13"/>
      <c r="F1160" s="78"/>
      <c r="G1160" s="78"/>
      <c r="H1160" s="13"/>
      <c r="I1160" s="13"/>
      <c r="J1160" s="13"/>
      <c r="K1160" s="13"/>
      <c r="L1160" s="13"/>
      <c r="M1160" s="8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</row>
    <row r="1161">
      <c r="A1161" s="13"/>
      <c r="B1161" s="13"/>
      <c r="C1161" s="13"/>
      <c r="D1161" s="13"/>
      <c r="E1161" s="13"/>
      <c r="F1161" s="78"/>
      <c r="G1161" s="78"/>
      <c r="H1161" s="13"/>
      <c r="I1161" s="13"/>
      <c r="J1161" s="13"/>
      <c r="K1161" s="13"/>
      <c r="L1161" s="13"/>
      <c r="M1161" s="8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</row>
    <row r="1162">
      <c r="A1162" s="13"/>
      <c r="B1162" s="13"/>
      <c r="C1162" s="13"/>
      <c r="D1162" s="13"/>
      <c r="E1162" s="13"/>
      <c r="F1162" s="78"/>
      <c r="G1162" s="78"/>
      <c r="H1162" s="13"/>
      <c r="I1162" s="13"/>
      <c r="J1162" s="13"/>
      <c r="K1162" s="13"/>
      <c r="L1162" s="13"/>
      <c r="M1162" s="8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</row>
    <row r="1163">
      <c r="A1163" s="13"/>
      <c r="B1163" s="13"/>
      <c r="C1163" s="13"/>
      <c r="D1163" s="13"/>
      <c r="E1163" s="13"/>
      <c r="F1163" s="78"/>
      <c r="G1163" s="78"/>
      <c r="H1163" s="13"/>
      <c r="I1163" s="13"/>
      <c r="J1163" s="13"/>
      <c r="K1163" s="13"/>
      <c r="L1163" s="13"/>
      <c r="M1163" s="8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</row>
    <row r="1164">
      <c r="A1164" s="13"/>
      <c r="B1164" s="13"/>
      <c r="C1164" s="13"/>
      <c r="D1164" s="13"/>
      <c r="E1164" s="13"/>
      <c r="F1164" s="78"/>
      <c r="G1164" s="78"/>
      <c r="H1164" s="13"/>
      <c r="I1164" s="13"/>
      <c r="J1164" s="13"/>
      <c r="K1164" s="13"/>
      <c r="L1164" s="13"/>
      <c r="M1164" s="8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</row>
    <row r="1165">
      <c r="A1165" s="13"/>
      <c r="B1165" s="13"/>
      <c r="C1165" s="13"/>
      <c r="D1165" s="13"/>
      <c r="E1165" s="13"/>
      <c r="F1165" s="78"/>
      <c r="G1165" s="78"/>
      <c r="H1165" s="13"/>
      <c r="I1165" s="13"/>
      <c r="J1165" s="13"/>
      <c r="K1165" s="13"/>
      <c r="L1165" s="13"/>
      <c r="M1165" s="8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</row>
    <row r="1166">
      <c r="A1166" s="13"/>
      <c r="B1166" s="13"/>
      <c r="C1166" s="13"/>
      <c r="D1166" s="13"/>
      <c r="E1166" s="13"/>
      <c r="F1166" s="78"/>
      <c r="G1166" s="78"/>
      <c r="H1166" s="13"/>
      <c r="I1166" s="13"/>
      <c r="J1166" s="13"/>
      <c r="K1166" s="13"/>
      <c r="L1166" s="13"/>
      <c r="M1166" s="8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</row>
    <row r="1167">
      <c r="A1167" s="13"/>
      <c r="B1167" s="13"/>
      <c r="C1167" s="13"/>
      <c r="D1167" s="13"/>
      <c r="E1167" s="13"/>
      <c r="F1167" s="78"/>
      <c r="G1167" s="78"/>
      <c r="H1167" s="13"/>
      <c r="I1167" s="13"/>
      <c r="J1167" s="13"/>
      <c r="K1167" s="13"/>
      <c r="L1167" s="13"/>
      <c r="M1167" s="8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</row>
    <row r="1168">
      <c r="A1168" s="13"/>
      <c r="B1168" s="13"/>
      <c r="C1168" s="13"/>
      <c r="D1168" s="13"/>
      <c r="E1168" s="13"/>
      <c r="F1168" s="78"/>
      <c r="G1168" s="78"/>
      <c r="H1168" s="13"/>
      <c r="I1168" s="13"/>
      <c r="J1168" s="13"/>
      <c r="K1168" s="13"/>
      <c r="L1168" s="13"/>
      <c r="M1168" s="8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</row>
    <row r="1169">
      <c r="A1169" s="13"/>
      <c r="B1169" s="13"/>
      <c r="C1169" s="13"/>
      <c r="D1169" s="13"/>
      <c r="E1169" s="13"/>
      <c r="F1169" s="78"/>
      <c r="G1169" s="78"/>
      <c r="H1169" s="13"/>
      <c r="I1169" s="13"/>
      <c r="J1169" s="13"/>
      <c r="K1169" s="13"/>
      <c r="L1169" s="13"/>
      <c r="M1169" s="8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</row>
    <row r="1170">
      <c r="A1170" s="13"/>
      <c r="B1170" s="13"/>
      <c r="C1170" s="13"/>
      <c r="D1170" s="13"/>
      <c r="E1170" s="13"/>
      <c r="F1170" s="78"/>
      <c r="G1170" s="78"/>
      <c r="H1170" s="13"/>
      <c r="I1170" s="13"/>
      <c r="J1170" s="13"/>
      <c r="K1170" s="13"/>
      <c r="L1170" s="13"/>
      <c r="M1170" s="8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</row>
    <row r="1171">
      <c r="A1171" s="13"/>
      <c r="B1171" s="13"/>
      <c r="C1171" s="13"/>
      <c r="D1171" s="13"/>
      <c r="E1171" s="13"/>
      <c r="F1171" s="78"/>
      <c r="G1171" s="78"/>
      <c r="H1171" s="13"/>
      <c r="I1171" s="13"/>
      <c r="J1171" s="13"/>
      <c r="K1171" s="13"/>
      <c r="L1171" s="13"/>
      <c r="M1171" s="8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</row>
    <row r="1172">
      <c r="A1172" s="13"/>
      <c r="B1172" s="13"/>
      <c r="C1172" s="13"/>
      <c r="D1172" s="13"/>
      <c r="E1172" s="13"/>
      <c r="F1172" s="78"/>
      <c r="G1172" s="78"/>
      <c r="H1172" s="13"/>
      <c r="I1172" s="13"/>
      <c r="J1172" s="13"/>
      <c r="K1172" s="13"/>
      <c r="L1172" s="13"/>
      <c r="M1172" s="8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</row>
    <row r="1173">
      <c r="A1173" s="13"/>
      <c r="B1173" s="13"/>
      <c r="C1173" s="13"/>
      <c r="D1173" s="13"/>
      <c r="E1173" s="13"/>
      <c r="F1173" s="78"/>
      <c r="G1173" s="78"/>
      <c r="H1173" s="13"/>
      <c r="I1173" s="13"/>
      <c r="J1173" s="13"/>
      <c r="K1173" s="13"/>
      <c r="L1173" s="13"/>
      <c r="M1173" s="8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</row>
    <row r="1174">
      <c r="A1174" s="13"/>
      <c r="B1174" s="13"/>
      <c r="C1174" s="13"/>
      <c r="D1174" s="13"/>
      <c r="E1174" s="13"/>
      <c r="F1174" s="78"/>
      <c r="G1174" s="78"/>
      <c r="H1174" s="13"/>
      <c r="I1174" s="13"/>
      <c r="J1174" s="13"/>
      <c r="K1174" s="13"/>
      <c r="L1174" s="13"/>
      <c r="M1174" s="8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</row>
    <row r="1175">
      <c r="A1175" s="13"/>
      <c r="B1175" s="13"/>
      <c r="C1175" s="13"/>
      <c r="D1175" s="13"/>
      <c r="E1175" s="13"/>
      <c r="F1175" s="78"/>
      <c r="G1175" s="78"/>
      <c r="H1175" s="13"/>
      <c r="I1175" s="13"/>
      <c r="J1175" s="13"/>
      <c r="K1175" s="13"/>
      <c r="L1175" s="13"/>
      <c r="M1175" s="8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</row>
    <row r="1176">
      <c r="A1176" s="13"/>
      <c r="B1176" s="13"/>
      <c r="C1176" s="13"/>
      <c r="D1176" s="13"/>
      <c r="E1176" s="13"/>
      <c r="F1176" s="78"/>
      <c r="G1176" s="78"/>
      <c r="H1176" s="13"/>
      <c r="I1176" s="13"/>
      <c r="J1176" s="13"/>
      <c r="K1176" s="13"/>
      <c r="L1176" s="13"/>
      <c r="M1176" s="8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</row>
    <row r="1177">
      <c r="A1177" s="13"/>
      <c r="B1177" s="13"/>
      <c r="C1177" s="13"/>
      <c r="D1177" s="13"/>
      <c r="E1177" s="13"/>
      <c r="F1177" s="78"/>
      <c r="G1177" s="78"/>
      <c r="H1177" s="13"/>
      <c r="I1177" s="13"/>
      <c r="J1177" s="13"/>
      <c r="K1177" s="13"/>
      <c r="L1177" s="13"/>
      <c r="M1177" s="8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</row>
    <row r="1178">
      <c r="A1178" s="13"/>
      <c r="B1178" s="13"/>
      <c r="C1178" s="13"/>
      <c r="D1178" s="13"/>
      <c r="E1178" s="13"/>
      <c r="F1178" s="78"/>
      <c r="G1178" s="78"/>
      <c r="H1178" s="13"/>
      <c r="I1178" s="13"/>
      <c r="J1178" s="13"/>
      <c r="K1178" s="13"/>
      <c r="L1178" s="13"/>
      <c r="M1178" s="8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</row>
    <row r="1179">
      <c r="A1179" s="13"/>
      <c r="B1179" s="13"/>
      <c r="C1179" s="13"/>
      <c r="D1179" s="13"/>
      <c r="E1179" s="13"/>
      <c r="F1179" s="78"/>
      <c r="G1179" s="78"/>
      <c r="H1179" s="13"/>
      <c r="I1179" s="13"/>
      <c r="J1179" s="13"/>
      <c r="K1179" s="13"/>
      <c r="L1179" s="13"/>
      <c r="M1179" s="8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</row>
    <row r="1180">
      <c r="A1180" s="13"/>
      <c r="B1180" s="13"/>
      <c r="C1180" s="13"/>
      <c r="D1180" s="13"/>
      <c r="E1180" s="13"/>
      <c r="F1180" s="78"/>
      <c r="G1180" s="78"/>
      <c r="H1180" s="13"/>
      <c r="I1180" s="13"/>
      <c r="J1180" s="13"/>
      <c r="K1180" s="13"/>
      <c r="L1180" s="13"/>
      <c r="M1180" s="8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</row>
    <row r="1181">
      <c r="A1181" s="13"/>
      <c r="B1181" s="13"/>
      <c r="C1181" s="13"/>
      <c r="D1181" s="13"/>
      <c r="E1181" s="13"/>
      <c r="F1181" s="78"/>
      <c r="G1181" s="78"/>
      <c r="H1181" s="13"/>
      <c r="I1181" s="13"/>
      <c r="J1181" s="13"/>
      <c r="K1181" s="13"/>
      <c r="L1181" s="13"/>
      <c r="M1181" s="8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</row>
    <row r="1182">
      <c r="A1182" s="13"/>
      <c r="B1182" s="13"/>
      <c r="C1182" s="13"/>
      <c r="D1182" s="13"/>
      <c r="E1182" s="13"/>
      <c r="F1182" s="78"/>
      <c r="G1182" s="78"/>
      <c r="H1182" s="13"/>
      <c r="I1182" s="13"/>
      <c r="J1182" s="13"/>
      <c r="K1182" s="13"/>
      <c r="L1182" s="13"/>
      <c r="M1182" s="8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</row>
    <row r="1183">
      <c r="A1183" s="13"/>
      <c r="B1183" s="13"/>
      <c r="C1183" s="13"/>
      <c r="D1183" s="13"/>
      <c r="E1183" s="13"/>
      <c r="F1183" s="78"/>
      <c r="G1183" s="78"/>
      <c r="H1183" s="13"/>
      <c r="I1183" s="13"/>
      <c r="J1183" s="13"/>
      <c r="K1183" s="13"/>
      <c r="L1183" s="13"/>
      <c r="M1183" s="8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</row>
  </sheetData>
  <autoFilter ref="$A$3:$AI$28"/>
  <conditionalFormatting sqref="R4:R27">
    <cfRule type="notContainsBlanks" dxfId="0" priority="1">
      <formula>LEN(TRIM(R4))&gt;0</formula>
    </cfRule>
  </conditionalFormatting>
  <dataValidations>
    <dataValidation type="list" allowBlank="1" sqref="R4:R27">
      <formula1>"Швецов,Егорова,Якушенко,Боровская,Вахрушева"</formula1>
    </dataValidation>
    <dataValidation type="list" allowBlank="1" sqref="T4:U27">
      <formula1>#REF!</formula1>
    </dataValidation>
    <dataValidation type="list" allowBlank="1" showErrorMessage="1" sqref="E268">
      <formula1>$E$49:$E$379</formula1>
    </dataValidation>
    <dataValidation type="list" allowBlank="1" showErrorMessage="1" sqref="I8:I9">
      <formula1>$D$245:$D$374</formula1>
    </dataValidation>
    <dataValidation type="list" allowBlank="1" showErrorMessage="1" sqref="E48">
      <formula1>$E$49:$E$57</formula1>
    </dataValidation>
    <dataValidation type="list" allowBlank="1" showErrorMessage="1" sqref="E6:E8 E10:E15 E17:E27">
      <formula1>'Отчет по марже'!$E$172:$E$442</formula1>
    </dataValidation>
    <dataValidation type="list" allowBlank="1" showErrorMessage="1" sqref="E9 E16">
      <formula1>'Отчет по марже'!$E$184:$E$454</formula1>
    </dataValidation>
    <dataValidation type="list" allowBlank="1" showErrorMessage="1" sqref="E4:E5">
      <formula1>'Отчет по марже'!$E$173:$E$443</formula1>
    </dataValidation>
    <dataValidation type="list" allowBlank="1" showErrorMessage="1" sqref="I4:I7 I10:I27">
      <formula1>$D$173:$D$348</formula1>
    </dataValidation>
    <dataValidation type="list" allowBlank="1" showErrorMessage="1" sqref="E29">
      <formula1>$D$49:$D$58</formula1>
    </dataValidation>
  </dataValidations>
  <hyperlinks>
    <hyperlink r:id="rId1" ref="E66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17.43"/>
    <col customWidth="1" min="2" max="2" width="16.86"/>
    <col customWidth="1" min="3" max="3" width="18.57"/>
    <col customWidth="1" min="4" max="4" width="11.57"/>
    <col customWidth="1" min="5" max="5" width="11.29"/>
    <col customWidth="1" min="6" max="6" width="10.14"/>
    <col customWidth="1" min="7" max="7" width="14.0"/>
    <col customWidth="1" min="8" max="8" width="11.14"/>
    <col customWidth="1" min="9" max="9" width="14.14"/>
    <col customWidth="1" min="10" max="10" width="17.57"/>
    <col customWidth="1" min="11" max="11" width="12.29"/>
    <col customWidth="1" min="12" max="12" width="17.0"/>
    <col customWidth="1" min="13" max="13" width="14.0"/>
    <col customWidth="1" min="14" max="14" width="13.43"/>
    <col customWidth="1" min="15" max="15" width="18.14"/>
    <col customWidth="1" min="16" max="27" width="8.71"/>
  </cols>
  <sheetData>
    <row r="1">
      <c r="A1" s="100" t="s">
        <v>291</v>
      </c>
      <c r="B1" s="101"/>
      <c r="E1" s="13"/>
      <c r="F1" s="13"/>
      <c r="G1" s="13"/>
      <c r="H1" s="13"/>
      <c r="I1" s="13"/>
      <c r="J1" s="13"/>
      <c r="K1" s="13"/>
      <c r="L1" s="13"/>
      <c r="M1" s="13"/>
    </row>
    <row r="2">
      <c r="A2" s="102" t="s">
        <v>292</v>
      </c>
      <c r="C2" s="80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78"/>
    </row>
    <row r="4">
      <c r="A4" s="80" t="s">
        <v>293</v>
      </c>
      <c r="B4" s="13"/>
      <c r="C4" s="103" t="s">
        <v>294</v>
      </c>
      <c r="D4" s="104" t="s">
        <v>295</v>
      </c>
      <c r="E4" s="105" t="s">
        <v>296</v>
      </c>
      <c r="F4" s="106" t="s">
        <v>297</v>
      </c>
      <c r="G4" s="107" t="s">
        <v>13</v>
      </c>
      <c r="H4" s="105" t="s">
        <v>14</v>
      </c>
      <c r="I4" s="108" t="s">
        <v>298</v>
      </c>
      <c r="J4" s="107" t="s">
        <v>299</v>
      </c>
      <c r="K4" s="105" t="s">
        <v>300</v>
      </c>
      <c r="L4" s="106" t="s">
        <v>301</v>
      </c>
      <c r="M4" s="109" t="s">
        <v>302</v>
      </c>
      <c r="N4" s="104" t="s">
        <v>303</v>
      </c>
      <c r="O4" s="110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9" t="s">
        <v>18</v>
      </c>
      <c r="B5" s="111" t="s">
        <v>304</v>
      </c>
      <c r="C5" s="112" t="s">
        <v>22</v>
      </c>
      <c r="D5" s="113">
        <f>85000</f>
        <v>85000</v>
      </c>
      <c r="E5" s="114"/>
      <c r="F5" s="115"/>
      <c r="G5" s="116">
        <f>SUMIF('Отчет по марже'!N:N,C5,'Отчет по марже'!O:O)</f>
        <v>0</v>
      </c>
      <c r="H5" s="117">
        <f>SUMIF('Отчет по марже'!P:P,C5,'Отчет по марже'!Q:Q)</f>
        <v>21554.5856</v>
      </c>
      <c r="I5" s="118">
        <f t="shared" ref="I5:I11" si="1">F5*E5+G5+H5</f>
        <v>21554.5856</v>
      </c>
      <c r="J5" s="113"/>
      <c r="K5" s="119">
        <f>85000/120*6*2</f>
        <v>8500</v>
      </c>
      <c r="L5" s="120">
        <v>0.0</v>
      </c>
      <c r="M5" s="121">
        <f t="shared" ref="M5:M11" si="2">D5+I5+L5+J5+K5</f>
        <v>115054.5856</v>
      </c>
      <c r="N5" s="122">
        <v>93500.0</v>
      </c>
      <c r="O5" s="123"/>
    </row>
    <row r="6">
      <c r="A6" s="99" t="s">
        <v>18</v>
      </c>
      <c r="B6" s="111" t="s">
        <v>305</v>
      </c>
      <c r="C6" s="112" t="s">
        <v>32</v>
      </c>
      <c r="D6" s="113">
        <f>75000</f>
        <v>75000</v>
      </c>
      <c r="E6" s="114"/>
      <c r="F6" s="115"/>
      <c r="G6" s="116">
        <f>SUMIF('Отчет по марже'!N:N,C6,'Отчет по марже'!O:O)</f>
        <v>44555.148</v>
      </c>
      <c r="H6" s="117">
        <f>SUMIF('Отчет по марже'!P:P,C6,'Отчет по марже'!Q:Q)</f>
        <v>9895.3116</v>
      </c>
      <c r="I6" s="118">
        <f t="shared" si="1"/>
        <v>54450.4596</v>
      </c>
      <c r="J6" s="113"/>
      <c r="K6" s="119">
        <f>75000/120*2*2</f>
        <v>2500</v>
      </c>
      <c r="L6" s="120">
        <v>0.0</v>
      </c>
      <c r="M6" s="121">
        <f t="shared" si="2"/>
        <v>131950.4596</v>
      </c>
      <c r="N6" s="113">
        <v>77500.57</v>
      </c>
      <c r="O6" s="123"/>
    </row>
    <row r="7">
      <c r="A7" s="99" t="s">
        <v>18</v>
      </c>
      <c r="B7" s="111" t="s">
        <v>306</v>
      </c>
      <c r="C7" s="112" t="s">
        <v>42</v>
      </c>
      <c r="D7" s="113">
        <f>70000/15*5</f>
        <v>23333.33333</v>
      </c>
      <c r="E7" s="114"/>
      <c r="F7" s="115"/>
      <c r="G7" s="116">
        <f>SUMIF('Отчет по марже'!N:N,C7,'Отчет по марже'!O:O)</f>
        <v>0</v>
      </c>
      <c r="H7" s="117">
        <f>SUMIF('Отчет по марже'!P:P,C7,'Отчет по марже'!Q:Q)</f>
        <v>0</v>
      </c>
      <c r="I7" s="118">
        <f t="shared" si="1"/>
        <v>0</v>
      </c>
      <c r="J7" s="113"/>
      <c r="K7" s="119">
        <f>70000/120*9.5*2</f>
        <v>11083.33333</v>
      </c>
      <c r="L7" s="120">
        <f>(21424.5+64273.5)*0.87</f>
        <v>74557.26</v>
      </c>
      <c r="M7" s="121">
        <f t="shared" si="2"/>
        <v>108973.9267</v>
      </c>
      <c r="N7" s="124">
        <v>108973.92666666665</v>
      </c>
      <c r="O7" s="123"/>
    </row>
    <row r="8">
      <c r="A8" s="99" t="s">
        <v>18</v>
      </c>
      <c r="B8" s="111" t="s">
        <v>307</v>
      </c>
      <c r="C8" s="125" t="s">
        <v>23</v>
      </c>
      <c r="D8" s="113">
        <f>170000</f>
        <v>170000</v>
      </c>
      <c r="E8" s="126">
        <v>0.03</v>
      </c>
      <c r="F8" s="127">
        <f>SUMIF('Отчет по марже'!S:S,C8,'Отчет по марже'!M:M)</f>
        <v>1560716.19</v>
      </c>
      <c r="G8" s="116"/>
      <c r="H8" s="117"/>
      <c r="I8" s="118">
        <f t="shared" si="1"/>
        <v>46821.4857</v>
      </c>
      <c r="J8" s="113"/>
      <c r="K8" s="119"/>
      <c r="L8" s="120">
        <f>62327.23*0.87</f>
        <v>54224.6901</v>
      </c>
      <c r="M8" s="121">
        <f t="shared" si="2"/>
        <v>271046.1758</v>
      </c>
      <c r="N8" s="113">
        <f>264589.23-182</f>
        <v>264407.23</v>
      </c>
      <c r="O8" s="123"/>
    </row>
    <row r="9">
      <c r="A9" s="99" t="s">
        <v>18</v>
      </c>
      <c r="B9" s="111" t="s">
        <v>308</v>
      </c>
      <c r="C9" s="125" t="s">
        <v>21</v>
      </c>
      <c r="D9" s="113">
        <f>60000</f>
        <v>60000</v>
      </c>
      <c r="E9" s="114"/>
      <c r="F9" s="115"/>
      <c r="G9" s="116">
        <f>SUMIF('Отчет по марже'!N:N,C9,'Отчет по марже'!O:O)</f>
        <v>43147.9376</v>
      </c>
      <c r="H9" s="117">
        <f>SUMIF('Отчет по марже'!P:P,C9,'Отчет по марже'!Q:Q)</f>
        <v>0</v>
      </c>
      <c r="I9" s="118">
        <f t="shared" si="1"/>
        <v>43147.9376</v>
      </c>
      <c r="J9" s="113"/>
      <c r="K9" s="119">
        <f>60000/120*7.3*2</f>
        <v>7300</v>
      </c>
      <c r="L9" s="120"/>
      <c r="M9" s="121">
        <f t="shared" si="2"/>
        <v>110447.9376</v>
      </c>
      <c r="N9" s="113">
        <v>67300.86</v>
      </c>
      <c r="O9" s="123"/>
    </row>
    <row r="10">
      <c r="A10" s="99" t="s">
        <v>18</v>
      </c>
      <c r="B10" s="111" t="s">
        <v>304</v>
      </c>
      <c r="C10" s="125" t="s">
        <v>30</v>
      </c>
      <c r="D10" s="113">
        <f>70000/15*11</f>
        <v>51333.33333</v>
      </c>
      <c r="E10" s="114"/>
      <c r="F10" s="115"/>
      <c r="G10" s="116">
        <f>SUMIF('Отчет по марже'!N:N,C10,'Отчет по марже'!O:O)</f>
        <v>0</v>
      </c>
      <c r="H10" s="117">
        <f>SUMIF('Отчет по марже'!P:P,C10,'Отчет по марже'!Q:Q)</f>
        <v>30978.7504</v>
      </c>
      <c r="I10" s="118">
        <f t="shared" si="1"/>
        <v>30978.7504</v>
      </c>
      <c r="J10" s="113"/>
      <c r="K10" s="119">
        <f>70000/120*9*2</f>
        <v>10500</v>
      </c>
      <c r="L10" s="120">
        <v>0.0</v>
      </c>
      <c r="M10" s="121">
        <f t="shared" si="2"/>
        <v>92812.08373</v>
      </c>
      <c r="N10" s="113">
        <v>61834.0</v>
      </c>
      <c r="O10" s="123"/>
    </row>
    <row r="11">
      <c r="A11" s="99" t="s">
        <v>18</v>
      </c>
      <c r="B11" s="111" t="s">
        <v>308</v>
      </c>
      <c r="C11" s="125" t="s">
        <v>29</v>
      </c>
      <c r="D11" s="113">
        <f>60000</f>
        <v>60000</v>
      </c>
      <c r="E11" s="114"/>
      <c r="F11" s="115"/>
      <c r="G11" s="116">
        <f>SUMIF('Отчет по марже'!N:N,C11,'Отчет по марже'!O:O)</f>
        <v>37154.2096</v>
      </c>
      <c r="H11" s="117">
        <f>SUMIF('Отчет по марже'!P:P,C11,'Отчет по марже'!Q:Q)</f>
        <v>0</v>
      </c>
      <c r="I11" s="118">
        <f t="shared" si="1"/>
        <v>37154.2096</v>
      </c>
      <c r="J11" s="113"/>
      <c r="K11" s="119">
        <f>60000/120*2*2</f>
        <v>2000</v>
      </c>
      <c r="L11" s="120">
        <v>0.0</v>
      </c>
      <c r="M11" s="121">
        <f t="shared" si="2"/>
        <v>99154.2096</v>
      </c>
      <c r="N11" s="113">
        <v>62000.87</v>
      </c>
      <c r="O11" s="123"/>
    </row>
    <row r="12">
      <c r="A12" s="99"/>
      <c r="B12" s="111"/>
      <c r="C12" s="128"/>
      <c r="D12" s="129"/>
      <c r="E12" s="130"/>
      <c r="F12" s="127"/>
      <c r="G12" s="131"/>
      <c r="H12" s="132"/>
      <c r="I12" s="133"/>
      <c r="J12" s="129"/>
      <c r="K12" s="134"/>
      <c r="L12" s="135"/>
      <c r="M12" s="121"/>
      <c r="N12" s="129"/>
      <c r="O12" s="136"/>
    </row>
    <row r="13">
      <c r="C13" s="13"/>
      <c r="D13" s="137">
        <f>SUM(D5:D12)</f>
        <v>524666.6667</v>
      </c>
      <c r="E13" s="137"/>
      <c r="F13" s="137"/>
      <c r="G13" s="137">
        <f t="shared" ref="G13:N13" si="3">SUM(G5:G12)</f>
        <v>124857.2952</v>
      </c>
      <c r="H13" s="137">
        <f t="shared" si="3"/>
        <v>62428.6476</v>
      </c>
      <c r="I13" s="137">
        <f t="shared" si="3"/>
        <v>234107.4285</v>
      </c>
      <c r="J13" s="137">
        <f t="shared" si="3"/>
        <v>0</v>
      </c>
      <c r="K13" s="137">
        <f t="shared" si="3"/>
        <v>41883.33333</v>
      </c>
      <c r="L13" s="137">
        <f t="shared" si="3"/>
        <v>128781.9501</v>
      </c>
      <c r="M13" s="137">
        <f t="shared" si="3"/>
        <v>929439.3786</v>
      </c>
      <c r="N13" s="137">
        <f t="shared" si="3"/>
        <v>735517.4567</v>
      </c>
      <c r="O13" s="136"/>
    </row>
    <row r="14">
      <c r="C14" s="13"/>
      <c r="D14" s="13"/>
      <c r="E14" s="13"/>
      <c r="F14" s="13"/>
      <c r="G14" s="13"/>
      <c r="H14" s="13"/>
      <c r="I14" s="13"/>
      <c r="J14" s="13"/>
      <c r="K14" s="13"/>
      <c r="L14" s="80"/>
      <c r="M14" s="13"/>
      <c r="N14" s="13"/>
      <c r="O14" s="101"/>
    </row>
    <row r="15">
      <c r="C15" s="13"/>
      <c r="D15" s="13"/>
      <c r="E15" s="13"/>
      <c r="F15" s="13"/>
      <c r="G15" s="13"/>
      <c r="H15" s="13"/>
      <c r="I15" s="13"/>
      <c r="J15" s="13"/>
      <c r="K15" s="13"/>
      <c r="L15" s="80" t="s">
        <v>309</v>
      </c>
      <c r="M15" s="138">
        <f>M13-M7</f>
        <v>820465.4519</v>
      </c>
      <c r="N15" s="13"/>
    </row>
    <row r="16">
      <c r="E16" s="13"/>
      <c r="F16" s="13"/>
      <c r="G16" s="13"/>
      <c r="H16" s="13"/>
      <c r="I16" s="13"/>
      <c r="J16" s="13"/>
      <c r="K16" s="13"/>
      <c r="L16" s="80"/>
      <c r="M16" s="138"/>
    </row>
    <row r="17">
      <c r="E17" s="13"/>
      <c r="F17" s="13"/>
      <c r="G17" s="13"/>
      <c r="H17" s="13"/>
      <c r="I17" s="13"/>
      <c r="J17" s="13"/>
      <c r="K17" s="13"/>
      <c r="L17" s="80"/>
      <c r="M17" s="138"/>
    </row>
    <row r="18">
      <c r="E18" s="13"/>
      <c r="F18" s="13"/>
      <c r="G18" s="13"/>
      <c r="H18" s="13"/>
      <c r="I18" s="13"/>
      <c r="J18" s="13"/>
      <c r="K18" s="13"/>
      <c r="L18" s="80"/>
      <c r="M18" s="138"/>
    </row>
    <row r="19">
      <c r="E19" s="13"/>
      <c r="F19" s="13"/>
      <c r="G19" s="13"/>
      <c r="H19" s="13"/>
      <c r="I19" s="13"/>
      <c r="J19" s="13"/>
      <c r="K19" s="13"/>
      <c r="L19" s="80"/>
      <c r="M19" s="138"/>
    </row>
    <row r="20">
      <c r="A20" s="139"/>
      <c r="E20" s="13"/>
      <c r="F20" s="13"/>
      <c r="G20" s="13"/>
      <c r="H20" s="13"/>
      <c r="I20" s="13"/>
      <c r="J20" s="13"/>
      <c r="K20" s="13"/>
      <c r="L20" s="80"/>
      <c r="M20" s="138"/>
    </row>
    <row r="21">
      <c r="A21" s="140"/>
      <c r="E21" s="13"/>
      <c r="F21" s="13"/>
      <c r="G21" s="13"/>
      <c r="H21" s="13"/>
      <c r="I21" s="13"/>
      <c r="J21" s="13"/>
      <c r="K21" s="13"/>
      <c r="L21" s="13"/>
      <c r="M21" s="13"/>
    </row>
    <row r="22">
      <c r="E22" s="13"/>
      <c r="F22" s="13"/>
      <c r="G22" s="13"/>
      <c r="H22" s="13"/>
      <c r="I22" s="13"/>
      <c r="J22" s="13"/>
      <c r="K22" s="13"/>
      <c r="L22" s="13"/>
      <c r="M22" s="13"/>
    </row>
    <row r="24">
      <c r="A24" s="50"/>
      <c r="N24" s="141"/>
    </row>
    <row r="25">
      <c r="A25" s="50"/>
      <c r="N25" s="141"/>
    </row>
    <row r="26">
      <c r="A26" s="50"/>
    </row>
    <row r="27">
      <c r="A27" s="50"/>
    </row>
    <row r="28">
      <c r="A28" s="50"/>
    </row>
    <row r="29">
      <c r="A29" s="50"/>
      <c r="D29" s="142"/>
    </row>
    <row r="30">
      <c r="A30" s="50"/>
    </row>
    <row r="31">
      <c r="A31" s="50"/>
    </row>
    <row r="32">
      <c r="A32" s="50"/>
    </row>
    <row r="33">
      <c r="A33" s="50"/>
    </row>
    <row r="34">
      <c r="A34" s="50"/>
      <c r="O34" s="99" t="str">
        <f>AVERAGE(#REF!)</f>
        <v>#REF!</v>
      </c>
    </row>
    <row r="35">
      <c r="A35" s="50"/>
    </row>
    <row r="36">
      <c r="A36" s="50"/>
    </row>
    <row r="37">
      <c r="A37" s="50"/>
    </row>
    <row r="38">
      <c r="A38" s="50"/>
    </row>
    <row r="39">
      <c r="A39" s="50"/>
    </row>
    <row r="40">
      <c r="A40" s="50"/>
    </row>
    <row r="41">
      <c r="A41" s="50"/>
    </row>
    <row r="42">
      <c r="A42" s="50"/>
    </row>
    <row r="43">
      <c r="A43" s="50"/>
    </row>
    <row r="44">
      <c r="A44" s="50"/>
    </row>
    <row r="45">
      <c r="A45" s="50"/>
    </row>
    <row r="46">
      <c r="A46" s="50"/>
    </row>
    <row r="47">
      <c r="A47" s="50"/>
    </row>
    <row r="48">
      <c r="A48" s="50"/>
    </row>
    <row r="49">
      <c r="A49" s="50"/>
    </row>
    <row r="50">
      <c r="A50" s="50"/>
    </row>
    <row r="51">
      <c r="A51" s="50"/>
    </row>
    <row r="52">
      <c r="A52" s="50"/>
    </row>
    <row r="53">
      <c r="A53" s="50"/>
    </row>
    <row r="54">
      <c r="A54" s="50"/>
    </row>
    <row r="55">
      <c r="A55" s="50"/>
    </row>
    <row r="56" ht="14.25" customHeight="1">
      <c r="A56" s="50"/>
    </row>
    <row r="57" ht="14.25" customHeight="1">
      <c r="A57" s="50"/>
    </row>
    <row r="58" ht="14.25" customHeight="1">
      <c r="A58" s="50"/>
    </row>
    <row r="59">
      <c r="A59" s="50"/>
    </row>
    <row r="60">
      <c r="A60" s="50"/>
    </row>
    <row r="61">
      <c r="A61" s="50"/>
    </row>
    <row r="62">
      <c r="A62" s="50"/>
    </row>
    <row r="63">
      <c r="A63" s="50"/>
    </row>
    <row r="64">
      <c r="A64" s="50"/>
    </row>
    <row r="65">
      <c r="A65" s="50"/>
    </row>
    <row r="66">
      <c r="A66" s="50"/>
    </row>
    <row r="67">
      <c r="A67" s="50"/>
    </row>
    <row r="68">
      <c r="A68" s="50"/>
    </row>
    <row r="69">
      <c r="A69" s="50"/>
    </row>
    <row r="70">
      <c r="A70" s="50"/>
    </row>
    <row r="71">
      <c r="A71" s="50"/>
    </row>
    <row r="72">
      <c r="A72" s="50"/>
    </row>
    <row r="82">
      <c r="E82" s="13"/>
      <c r="F82" s="13"/>
      <c r="G82" s="13"/>
      <c r="H82" s="13"/>
      <c r="I82" s="13"/>
      <c r="J82" s="13"/>
      <c r="K82" s="13"/>
      <c r="L82" s="13"/>
      <c r="M82" s="13"/>
    </row>
    <row r="83">
      <c r="E83" s="13"/>
      <c r="F83" s="13"/>
      <c r="G83" s="13"/>
      <c r="H83" s="13"/>
      <c r="I83" s="13"/>
      <c r="J83" s="13"/>
      <c r="K83" s="13"/>
      <c r="L83" s="13"/>
      <c r="M83" s="13"/>
    </row>
    <row r="84">
      <c r="E84" s="13"/>
      <c r="F84" s="13"/>
      <c r="G84" s="13"/>
      <c r="H84" s="13"/>
      <c r="I84" s="13"/>
      <c r="J84" s="13"/>
      <c r="K84" s="13"/>
      <c r="L84" s="13"/>
      <c r="M84" s="13"/>
    </row>
    <row r="85">
      <c r="E85" s="13"/>
      <c r="F85" s="13"/>
      <c r="G85" s="13"/>
      <c r="H85" s="13"/>
      <c r="I85" s="13"/>
      <c r="J85" s="13"/>
      <c r="K85" s="13"/>
      <c r="L85" s="13"/>
      <c r="M85" s="13"/>
    </row>
    <row r="86">
      <c r="E86" s="13"/>
      <c r="F86" s="13"/>
      <c r="G86" s="13"/>
      <c r="H86" s="13"/>
      <c r="I86" s="13"/>
      <c r="J86" s="13"/>
      <c r="K86" s="13"/>
      <c r="L86" s="13"/>
      <c r="M86" s="13"/>
    </row>
    <row r="87">
      <c r="E87" s="13"/>
      <c r="F87" s="13"/>
      <c r="G87" s="13"/>
      <c r="H87" s="13"/>
      <c r="I87" s="13"/>
      <c r="J87" s="13"/>
      <c r="K87" s="13"/>
      <c r="L87" s="13"/>
      <c r="M87" s="13"/>
    </row>
    <row r="88">
      <c r="E88" s="13"/>
      <c r="F88" s="13"/>
      <c r="G88" s="13"/>
      <c r="H88" s="13"/>
      <c r="I88" s="13"/>
      <c r="J88" s="13"/>
      <c r="K88" s="13"/>
      <c r="L88" s="13"/>
      <c r="M88" s="13"/>
    </row>
    <row r="89">
      <c r="E89" s="13"/>
      <c r="F89" s="13"/>
      <c r="G89" s="13"/>
      <c r="H89" s="13"/>
      <c r="I89" s="13"/>
      <c r="J89" s="13"/>
      <c r="K89" s="13"/>
      <c r="L89" s="13"/>
      <c r="M89" s="13"/>
    </row>
    <row r="90">
      <c r="E90" s="13"/>
      <c r="F90" s="13"/>
      <c r="G90" s="13"/>
      <c r="H90" s="13"/>
      <c r="I90" s="13"/>
      <c r="J90" s="13"/>
      <c r="K90" s="13"/>
      <c r="L90" s="13"/>
      <c r="M90" s="13"/>
    </row>
    <row r="91">
      <c r="E91" s="13"/>
      <c r="F91" s="13"/>
      <c r="G91" s="13"/>
      <c r="H91" s="13"/>
      <c r="I91" s="13"/>
      <c r="J91" s="13"/>
      <c r="K91" s="13"/>
      <c r="L91" s="13"/>
      <c r="M91" s="13"/>
    </row>
    <row r="92">
      <c r="E92" s="13"/>
      <c r="F92" s="13"/>
      <c r="G92" s="13"/>
      <c r="H92" s="13"/>
      <c r="I92" s="13"/>
      <c r="J92" s="13"/>
      <c r="K92" s="13"/>
      <c r="L92" s="13"/>
      <c r="M92" s="13"/>
    </row>
    <row r="93">
      <c r="E93" s="13"/>
      <c r="F93" s="13"/>
      <c r="G93" s="13"/>
      <c r="H93" s="13"/>
      <c r="I93" s="13"/>
      <c r="J93" s="13"/>
      <c r="K93" s="13"/>
      <c r="L93" s="13"/>
      <c r="M93" s="13"/>
    </row>
    <row r="94">
      <c r="E94" s="13"/>
      <c r="F94" s="13"/>
      <c r="G94" s="13"/>
      <c r="H94" s="13"/>
      <c r="I94" s="13"/>
      <c r="J94" s="13"/>
      <c r="K94" s="13"/>
      <c r="L94" s="13"/>
      <c r="M94" s="13"/>
    </row>
    <row r="95">
      <c r="E95" s="13"/>
      <c r="F95" s="13"/>
      <c r="G95" s="13"/>
      <c r="H95" s="13"/>
      <c r="I95" s="13"/>
      <c r="J95" s="13"/>
      <c r="K95" s="13"/>
      <c r="L95" s="13"/>
      <c r="M95" s="13"/>
    </row>
    <row r="96">
      <c r="E96" s="13"/>
      <c r="F96" s="13"/>
      <c r="G96" s="13"/>
      <c r="H96" s="13"/>
      <c r="I96" s="13"/>
      <c r="J96" s="13"/>
      <c r="K96" s="13"/>
      <c r="L96" s="13"/>
      <c r="M96" s="13"/>
    </row>
    <row r="97">
      <c r="E97" s="13"/>
      <c r="F97" s="13"/>
      <c r="G97" s="13"/>
      <c r="H97" s="13"/>
      <c r="I97" s="13"/>
      <c r="J97" s="13"/>
      <c r="K97" s="13"/>
      <c r="L97" s="13"/>
      <c r="M97" s="13"/>
    </row>
    <row r="98">
      <c r="E98" s="13"/>
      <c r="F98" s="13"/>
      <c r="G98" s="13"/>
      <c r="H98" s="13"/>
      <c r="I98" s="13"/>
      <c r="J98" s="13"/>
      <c r="K98" s="13"/>
      <c r="L98" s="13"/>
      <c r="M98" s="13"/>
    </row>
    <row r="99">
      <c r="E99" s="13"/>
      <c r="F99" s="13"/>
      <c r="G99" s="13"/>
      <c r="H99" s="13"/>
      <c r="I99" s="13"/>
      <c r="J99" s="13"/>
      <c r="K99" s="13"/>
      <c r="L99" s="13"/>
      <c r="M99" s="13"/>
    </row>
    <row r="100">
      <c r="E100" s="13"/>
      <c r="F100" s="13"/>
      <c r="G100" s="13"/>
      <c r="H100" s="13"/>
      <c r="I100" s="13"/>
      <c r="J100" s="13"/>
      <c r="K100" s="13"/>
      <c r="L100" s="13"/>
      <c r="M100" s="13"/>
    </row>
    <row r="101">
      <c r="E101" s="13"/>
      <c r="F101" s="13"/>
      <c r="G101" s="13"/>
      <c r="H101" s="13"/>
      <c r="I101" s="13"/>
      <c r="J101" s="13"/>
      <c r="K101" s="13"/>
      <c r="L101" s="13"/>
      <c r="M101" s="13"/>
    </row>
    <row r="102">
      <c r="E102" s="13"/>
      <c r="F102" s="13"/>
      <c r="G102" s="13"/>
      <c r="H102" s="13"/>
      <c r="I102" s="13"/>
      <c r="J102" s="13"/>
      <c r="K102" s="13"/>
      <c r="L102" s="13"/>
      <c r="M102" s="13"/>
    </row>
    <row r="103">
      <c r="E103" s="13"/>
      <c r="F103" s="13"/>
      <c r="G103" s="13"/>
      <c r="H103" s="13"/>
      <c r="I103" s="13"/>
      <c r="J103" s="13"/>
      <c r="K103" s="13"/>
      <c r="L103" s="13"/>
      <c r="M103" s="13"/>
    </row>
    <row r="104">
      <c r="E104" s="13"/>
      <c r="F104" s="13"/>
      <c r="G104" s="13"/>
      <c r="H104" s="13"/>
      <c r="I104" s="13"/>
      <c r="J104" s="13"/>
      <c r="K104" s="13"/>
      <c r="L104" s="13"/>
      <c r="M104" s="13"/>
    </row>
    <row r="105">
      <c r="E105" s="13"/>
      <c r="F105" s="13"/>
      <c r="G105" s="13"/>
      <c r="H105" s="13"/>
      <c r="I105" s="13"/>
      <c r="J105" s="13"/>
      <c r="K105" s="13"/>
      <c r="L105" s="13"/>
      <c r="M105" s="13"/>
    </row>
    <row r="106">
      <c r="E106" s="13"/>
      <c r="F106" s="13"/>
      <c r="G106" s="13"/>
      <c r="H106" s="13"/>
      <c r="I106" s="13"/>
      <c r="J106" s="13"/>
      <c r="K106" s="13"/>
      <c r="L106" s="13"/>
      <c r="M106" s="13"/>
    </row>
    <row r="107">
      <c r="E107" s="13"/>
      <c r="F107" s="13"/>
      <c r="G107" s="13"/>
      <c r="H107" s="13"/>
      <c r="I107" s="13"/>
      <c r="J107" s="13"/>
      <c r="K107" s="13"/>
      <c r="L107" s="13"/>
      <c r="M107" s="13"/>
    </row>
    <row r="108">
      <c r="E108" s="13"/>
      <c r="F108" s="13"/>
      <c r="G108" s="13"/>
      <c r="H108" s="13"/>
      <c r="I108" s="13"/>
      <c r="J108" s="13"/>
      <c r="K108" s="13"/>
      <c r="L108" s="13"/>
      <c r="M108" s="13"/>
    </row>
    <row r="109">
      <c r="E109" s="13"/>
      <c r="F109" s="13"/>
      <c r="G109" s="13"/>
      <c r="H109" s="13"/>
      <c r="I109" s="13"/>
      <c r="J109" s="13"/>
      <c r="K109" s="13"/>
      <c r="L109" s="13"/>
      <c r="M109" s="13"/>
    </row>
    <row r="110">
      <c r="E110" s="13"/>
      <c r="F110" s="13"/>
      <c r="G110" s="13"/>
      <c r="H110" s="13"/>
      <c r="I110" s="13"/>
      <c r="J110" s="13"/>
      <c r="K110" s="13"/>
      <c r="L110" s="13"/>
      <c r="M110" s="13"/>
    </row>
    <row r="111">
      <c r="E111" s="13"/>
      <c r="F111" s="13"/>
      <c r="G111" s="13"/>
      <c r="H111" s="13"/>
      <c r="I111" s="13"/>
      <c r="J111" s="13"/>
      <c r="K111" s="13"/>
      <c r="L111" s="13"/>
      <c r="M111" s="13"/>
    </row>
    <row r="112">
      <c r="E112" s="13"/>
      <c r="F112" s="13"/>
      <c r="G112" s="13"/>
      <c r="H112" s="13"/>
      <c r="I112" s="13"/>
      <c r="J112" s="13"/>
      <c r="K112" s="13"/>
      <c r="L112" s="13"/>
      <c r="M112" s="13"/>
    </row>
    <row r="113">
      <c r="E113" s="13"/>
      <c r="F113" s="13"/>
      <c r="G113" s="13"/>
      <c r="H113" s="13"/>
      <c r="I113" s="13"/>
      <c r="J113" s="13"/>
      <c r="K113" s="13"/>
      <c r="L113" s="13"/>
      <c r="M113" s="13"/>
    </row>
    <row r="114">
      <c r="E114" s="13"/>
      <c r="F114" s="13"/>
      <c r="G114" s="13"/>
      <c r="H114" s="13"/>
      <c r="I114" s="13"/>
      <c r="J114" s="13"/>
      <c r="K114" s="13"/>
      <c r="L114" s="13"/>
      <c r="M114" s="13"/>
    </row>
    <row r="115">
      <c r="E115" s="13"/>
      <c r="F115" s="13"/>
      <c r="G115" s="13"/>
      <c r="H115" s="13"/>
      <c r="I115" s="13"/>
      <c r="J115" s="13"/>
      <c r="K115" s="13"/>
      <c r="L115" s="13"/>
      <c r="M115" s="13"/>
    </row>
    <row r="116">
      <c r="E116" s="13"/>
      <c r="F116" s="13"/>
      <c r="G116" s="13"/>
      <c r="H116" s="13"/>
      <c r="I116" s="13"/>
      <c r="J116" s="13"/>
      <c r="K116" s="13"/>
      <c r="L116" s="13"/>
      <c r="M116" s="13"/>
    </row>
    <row r="117">
      <c r="E117" s="13"/>
      <c r="F117" s="13"/>
      <c r="G117" s="13"/>
      <c r="H117" s="13"/>
      <c r="I117" s="13"/>
      <c r="J117" s="13"/>
      <c r="K117" s="13"/>
      <c r="L117" s="13"/>
      <c r="M117" s="13"/>
    </row>
    <row r="118">
      <c r="E118" s="13"/>
      <c r="F118" s="13"/>
      <c r="G118" s="13"/>
      <c r="H118" s="13"/>
      <c r="I118" s="13"/>
      <c r="J118" s="13"/>
      <c r="K118" s="13"/>
      <c r="L118" s="13"/>
      <c r="M118" s="13"/>
    </row>
    <row r="119">
      <c r="E119" s="13"/>
      <c r="F119" s="13"/>
      <c r="G119" s="13"/>
      <c r="H119" s="13"/>
      <c r="I119" s="13"/>
      <c r="J119" s="13"/>
      <c r="K119" s="13"/>
      <c r="L119" s="13"/>
      <c r="M119" s="13"/>
    </row>
    <row r="120">
      <c r="E120" s="13"/>
      <c r="F120" s="13"/>
      <c r="G120" s="13"/>
      <c r="H120" s="13"/>
      <c r="I120" s="13"/>
      <c r="J120" s="13"/>
      <c r="K120" s="13"/>
      <c r="L120" s="13"/>
      <c r="M120" s="13"/>
    </row>
    <row r="121">
      <c r="E121" s="13"/>
      <c r="F121" s="13"/>
      <c r="G121" s="13"/>
      <c r="H121" s="13"/>
      <c r="I121" s="13"/>
      <c r="J121" s="13"/>
      <c r="K121" s="13"/>
      <c r="L121" s="13"/>
      <c r="M121" s="13"/>
    </row>
    <row r="122">
      <c r="E122" s="13"/>
      <c r="F122" s="13"/>
      <c r="G122" s="13"/>
      <c r="H122" s="13"/>
      <c r="I122" s="13"/>
      <c r="J122" s="13"/>
      <c r="K122" s="13"/>
      <c r="L122" s="13"/>
      <c r="M122" s="13"/>
    </row>
    <row r="123">
      <c r="E123" s="13"/>
      <c r="F123" s="13"/>
      <c r="G123" s="13"/>
      <c r="H123" s="13"/>
      <c r="I123" s="13"/>
      <c r="J123" s="13"/>
      <c r="K123" s="13"/>
      <c r="L123" s="13"/>
      <c r="M123" s="13"/>
    </row>
    <row r="124">
      <c r="E124" s="13"/>
      <c r="F124" s="13"/>
      <c r="G124" s="13"/>
      <c r="H124" s="13"/>
      <c r="I124" s="13"/>
      <c r="J124" s="13"/>
      <c r="K124" s="13"/>
      <c r="L124" s="13"/>
      <c r="M124" s="13"/>
    </row>
    <row r="125">
      <c r="E125" s="13"/>
      <c r="F125" s="13"/>
      <c r="G125" s="13"/>
      <c r="H125" s="13"/>
      <c r="I125" s="13"/>
      <c r="J125" s="13"/>
      <c r="K125" s="13"/>
      <c r="L125" s="13"/>
      <c r="M125" s="13"/>
    </row>
    <row r="126">
      <c r="E126" s="13"/>
      <c r="F126" s="13"/>
      <c r="G126" s="13"/>
      <c r="H126" s="13"/>
      <c r="I126" s="13"/>
      <c r="J126" s="13"/>
      <c r="K126" s="13"/>
      <c r="L126" s="13"/>
      <c r="M126" s="13"/>
    </row>
    <row r="127">
      <c r="E127" s="13"/>
      <c r="F127" s="13"/>
      <c r="G127" s="13"/>
      <c r="H127" s="13"/>
      <c r="I127" s="13"/>
      <c r="J127" s="13"/>
      <c r="K127" s="13"/>
      <c r="L127" s="13"/>
      <c r="M127" s="13"/>
    </row>
    <row r="128">
      <c r="E128" s="13"/>
      <c r="F128" s="13"/>
      <c r="G128" s="13"/>
      <c r="H128" s="13"/>
      <c r="I128" s="13"/>
      <c r="J128" s="13"/>
      <c r="K128" s="13"/>
      <c r="L128" s="13"/>
      <c r="M128" s="13"/>
    </row>
    <row r="129">
      <c r="E129" s="13"/>
      <c r="F129" s="13"/>
      <c r="G129" s="13"/>
      <c r="H129" s="13"/>
      <c r="I129" s="13"/>
      <c r="J129" s="13"/>
      <c r="K129" s="13"/>
      <c r="L129" s="13"/>
      <c r="M129" s="13"/>
    </row>
    <row r="130">
      <c r="E130" s="13"/>
      <c r="F130" s="13"/>
      <c r="G130" s="13"/>
      <c r="H130" s="13"/>
      <c r="I130" s="13"/>
      <c r="J130" s="13"/>
      <c r="K130" s="13"/>
      <c r="L130" s="13"/>
      <c r="M130" s="13"/>
    </row>
    <row r="131">
      <c r="E131" s="13"/>
      <c r="F131" s="13"/>
      <c r="G131" s="13"/>
      <c r="H131" s="13"/>
      <c r="I131" s="13"/>
      <c r="J131" s="13"/>
      <c r="K131" s="13"/>
      <c r="L131" s="13"/>
      <c r="M131" s="13"/>
    </row>
    <row r="132">
      <c r="E132" s="13"/>
      <c r="F132" s="13"/>
      <c r="G132" s="13"/>
      <c r="H132" s="13"/>
      <c r="I132" s="13"/>
      <c r="J132" s="13"/>
      <c r="K132" s="13"/>
      <c r="L132" s="13"/>
      <c r="M132" s="13"/>
    </row>
    <row r="133">
      <c r="E133" s="13"/>
      <c r="F133" s="13"/>
      <c r="G133" s="13"/>
      <c r="H133" s="13"/>
      <c r="I133" s="13"/>
      <c r="J133" s="13"/>
      <c r="K133" s="13"/>
      <c r="L133" s="13"/>
      <c r="M133" s="13"/>
    </row>
    <row r="134">
      <c r="E134" s="13"/>
      <c r="F134" s="13"/>
      <c r="G134" s="13"/>
      <c r="H134" s="13"/>
      <c r="I134" s="13"/>
      <c r="J134" s="13"/>
      <c r="K134" s="13"/>
      <c r="L134" s="13"/>
      <c r="M134" s="13"/>
    </row>
    <row r="135">
      <c r="E135" s="13"/>
      <c r="F135" s="13"/>
      <c r="G135" s="13"/>
      <c r="H135" s="13"/>
      <c r="I135" s="13"/>
      <c r="J135" s="13"/>
      <c r="K135" s="13"/>
      <c r="L135" s="13"/>
      <c r="M135" s="13"/>
    </row>
    <row r="136">
      <c r="E136" s="13"/>
      <c r="F136" s="13"/>
      <c r="G136" s="13"/>
      <c r="H136" s="13"/>
      <c r="I136" s="13"/>
      <c r="J136" s="13"/>
      <c r="K136" s="13"/>
      <c r="L136" s="13"/>
      <c r="M136" s="13"/>
    </row>
    <row r="137">
      <c r="E137" s="13"/>
      <c r="F137" s="13"/>
      <c r="G137" s="13"/>
      <c r="H137" s="13"/>
      <c r="I137" s="13"/>
      <c r="J137" s="13"/>
      <c r="K137" s="13"/>
      <c r="L137" s="13"/>
      <c r="M137" s="13"/>
    </row>
    <row r="138">
      <c r="E138" s="13"/>
      <c r="F138" s="13"/>
      <c r="G138" s="13"/>
      <c r="H138" s="13"/>
      <c r="I138" s="13"/>
      <c r="J138" s="13"/>
      <c r="K138" s="13"/>
      <c r="L138" s="13"/>
      <c r="M138" s="13"/>
    </row>
    <row r="139">
      <c r="E139" s="13"/>
      <c r="F139" s="13"/>
      <c r="G139" s="13"/>
      <c r="H139" s="13"/>
      <c r="I139" s="13"/>
      <c r="J139" s="13"/>
      <c r="K139" s="13"/>
      <c r="L139" s="13"/>
      <c r="M139" s="13"/>
    </row>
    <row r="140">
      <c r="E140" s="13"/>
      <c r="F140" s="13"/>
      <c r="G140" s="13"/>
      <c r="H140" s="13"/>
      <c r="I140" s="13"/>
      <c r="J140" s="13"/>
      <c r="K140" s="13"/>
      <c r="L140" s="13"/>
      <c r="M140" s="13"/>
    </row>
    <row r="141">
      <c r="E141" s="13"/>
      <c r="F141" s="13"/>
      <c r="G141" s="13"/>
      <c r="H141" s="13"/>
      <c r="I141" s="13"/>
      <c r="J141" s="13"/>
      <c r="K141" s="13"/>
      <c r="L141" s="13"/>
      <c r="M141" s="13"/>
    </row>
    <row r="142">
      <c r="E142" s="13"/>
      <c r="F142" s="13"/>
      <c r="G142" s="13"/>
      <c r="H142" s="13"/>
      <c r="I142" s="13"/>
      <c r="J142" s="13"/>
      <c r="K142" s="13"/>
      <c r="L142" s="13"/>
      <c r="M142" s="13"/>
    </row>
    <row r="143">
      <c r="E143" s="13"/>
      <c r="F143" s="13"/>
      <c r="G143" s="13"/>
      <c r="H143" s="13"/>
      <c r="I143" s="13"/>
      <c r="J143" s="13"/>
      <c r="K143" s="13"/>
      <c r="L143" s="13"/>
      <c r="M143" s="13"/>
    </row>
    <row r="144">
      <c r="E144" s="13"/>
      <c r="F144" s="13"/>
      <c r="G144" s="13"/>
      <c r="H144" s="13"/>
      <c r="I144" s="13"/>
      <c r="J144" s="13"/>
      <c r="K144" s="13"/>
      <c r="L144" s="13"/>
      <c r="M144" s="13"/>
    </row>
    <row r="145">
      <c r="E145" s="13"/>
      <c r="F145" s="13"/>
      <c r="G145" s="13"/>
      <c r="H145" s="13"/>
      <c r="I145" s="13"/>
      <c r="J145" s="13"/>
      <c r="K145" s="13"/>
      <c r="L145" s="13"/>
      <c r="M145" s="13"/>
    </row>
    <row r="146">
      <c r="E146" s="13"/>
      <c r="F146" s="13"/>
      <c r="G146" s="13"/>
      <c r="H146" s="13"/>
      <c r="I146" s="13"/>
      <c r="J146" s="13"/>
      <c r="K146" s="13"/>
      <c r="L146" s="13"/>
      <c r="M146" s="13"/>
    </row>
    <row r="147">
      <c r="E147" s="13"/>
      <c r="F147" s="13"/>
      <c r="G147" s="13"/>
      <c r="H147" s="13"/>
      <c r="I147" s="13"/>
      <c r="J147" s="13"/>
      <c r="K147" s="13"/>
      <c r="L147" s="13"/>
      <c r="M147" s="13"/>
    </row>
    <row r="148">
      <c r="E148" s="13"/>
      <c r="F148" s="13"/>
      <c r="G148" s="13"/>
      <c r="H148" s="13"/>
      <c r="I148" s="13"/>
      <c r="J148" s="13"/>
      <c r="K148" s="13"/>
      <c r="L148" s="13"/>
      <c r="M148" s="13"/>
    </row>
    <row r="149">
      <c r="E149" s="13"/>
      <c r="F149" s="13"/>
      <c r="G149" s="13"/>
      <c r="H149" s="13"/>
      <c r="I149" s="13"/>
      <c r="J149" s="13"/>
      <c r="K149" s="13"/>
      <c r="L149" s="13"/>
      <c r="M149" s="13"/>
    </row>
    <row r="150">
      <c r="E150" s="13"/>
      <c r="F150" s="13"/>
      <c r="G150" s="13"/>
      <c r="H150" s="13"/>
      <c r="I150" s="13"/>
      <c r="J150" s="13"/>
      <c r="K150" s="13"/>
      <c r="L150" s="13"/>
      <c r="M150" s="13"/>
    </row>
    <row r="151">
      <c r="E151" s="13"/>
      <c r="F151" s="13"/>
      <c r="G151" s="13"/>
      <c r="H151" s="13"/>
      <c r="I151" s="13"/>
      <c r="J151" s="13"/>
      <c r="K151" s="13"/>
      <c r="L151" s="13"/>
      <c r="M151" s="13"/>
    </row>
    <row r="152">
      <c r="E152" s="13"/>
      <c r="F152" s="13"/>
      <c r="G152" s="13"/>
      <c r="H152" s="13"/>
      <c r="I152" s="13"/>
      <c r="J152" s="13"/>
      <c r="K152" s="13"/>
      <c r="L152" s="13"/>
      <c r="M152" s="13"/>
    </row>
    <row r="153">
      <c r="E153" s="13"/>
      <c r="F153" s="13"/>
      <c r="G153" s="13"/>
      <c r="H153" s="13"/>
      <c r="I153" s="13"/>
      <c r="J153" s="13"/>
      <c r="K153" s="13"/>
      <c r="L153" s="13"/>
      <c r="M153" s="13"/>
    </row>
    <row r="154">
      <c r="E154" s="13"/>
      <c r="F154" s="13"/>
      <c r="G154" s="13"/>
      <c r="H154" s="13"/>
      <c r="I154" s="13"/>
      <c r="J154" s="13"/>
      <c r="K154" s="13"/>
      <c r="L154" s="13"/>
      <c r="M154" s="13"/>
    </row>
    <row r="155">
      <c r="E155" s="13"/>
      <c r="F155" s="13"/>
      <c r="G155" s="13"/>
      <c r="H155" s="13"/>
      <c r="I155" s="13"/>
      <c r="J155" s="13"/>
      <c r="K155" s="13"/>
      <c r="L155" s="13"/>
      <c r="M155" s="13"/>
    </row>
    <row r="156">
      <c r="E156" s="13"/>
      <c r="F156" s="13"/>
      <c r="G156" s="13"/>
      <c r="H156" s="13"/>
      <c r="I156" s="13"/>
      <c r="J156" s="13"/>
      <c r="K156" s="13"/>
      <c r="L156" s="13"/>
      <c r="M156" s="13"/>
    </row>
    <row r="157">
      <c r="E157" s="13"/>
      <c r="F157" s="13"/>
      <c r="G157" s="13"/>
      <c r="H157" s="13"/>
      <c r="I157" s="13"/>
      <c r="J157" s="13"/>
      <c r="K157" s="13"/>
      <c r="L157" s="13"/>
      <c r="M157" s="13"/>
    </row>
    <row r="158">
      <c r="E158" s="13"/>
      <c r="F158" s="13"/>
      <c r="G158" s="13"/>
      <c r="H158" s="13"/>
      <c r="I158" s="13"/>
      <c r="J158" s="13"/>
      <c r="K158" s="13"/>
      <c r="L158" s="13"/>
      <c r="M158" s="13"/>
    </row>
    <row r="159">
      <c r="E159" s="13"/>
      <c r="F159" s="13"/>
      <c r="G159" s="13"/>
      <c r="H159" s="13"/>
      <c r="I159" s="13"/>
      <c r="J159" s="13"/>
      <c r="K159" s="13"/>
      <c r="L159" s="13"/>
      <c r="M159" s="13"/>
    </row>
    <row r="160">
      <c r="E160" s="13"/>
      <c r="F160" s="13"/>
      <c r="G160" s="13"/>
      <c r="H160" s="13"/>
      <c r="I160" s="13"/>
      <c r="J160" s="13"/>
      <c r="K160" s="13"/>
      <c r="L160" s="13"/>
      <c r="M160" s="13"/>
    </row>
    <row r="161">
      <c r="E161" s="13"/>
      <c r="F161" s="13"/>
      <c r="G161" s="13"/>
      <c r="H161" s="13"/>
      <c r="I161" s="13"/>
      <c r="J161" s="13"/>
      <c r="K161" s="13"/>
      <c r="L161" s="13"/>
      <c r="M161" s="13"/>
    </row>
    <row r="162">
      <c r="E162" s="13"/>
      <c r="F162" s="13"/>
      <c r="G162" s="13"/>
      <c r="H162" s="13"/>
      <c r="I162" s="13"/>
      <c r="J162" s="13"/>
      <c r="K162" s="13"/>
      <c r="L162" s="13"/>
      <c r="M162" s="13"/>
    </row>
    <row r="163">
      <c r="E163" s="13"/>
      <c r="F163" s="13"/>
      <c r="G163" s="13"/>
      <c r="H163" s="13"/>
      <c r="I163" s="13"/>
      <c r="J163" s="13"/>
      <c r="K163" s="13"/>
      <c r="L163" s="13"/>
      <c r="M163" s="13"/>
    </row>
    <row r="164">
      <c r="E164" s="13"/>
      <c r="F164" s="13"/>
      <c r="G164" s="13"/>
      <c r="H164" s="13"/>
      <c r="I164" s="13"/>
      <c r="J164" s="13"/>
      <c r="K164" s="13"/>
      <c r="L164" s="13"/>
      <c r="M164" s="13"/>
    </row>
    <row r="165">
      <c r="E165" s="13"/>
      <c r="F165" s="13"/>
      <c r="G165" s="13"/>
      <c r="H165" s="13"/>
      <c r="I165" s="13"/>
      <c r="J165" s="13"/>
      <c r="K165" s="13"/>
      <c r="L165" s="13"/>
      <c r="M165" s="13"/>
    </row>
    <row r="166">
      <c r="E166" s="13"/>
      <c r="F166" s="13"/>
      <c r="G166" s="13"/>
      <c r="H166" s="13"/>
      <c r="I166" s="13"/>
      <c r="J166" s="13"/>
      <c r="K166" s="13"/>
      <c r="L166" s="13"/>
      <c r="M166" s="13"/>
    </row>
    <row r="167">
      <c r="E167" s="13"/>
      <c r="F167" s="13"/>
      <c r="G167" s="13"/>
      <c r="H167" s="13"/>
      <c r="I167" s="13"/>
      <c r="J167" s="13"/>
      <c r="K167" s="13"/>
      <c r="L167" s="13"/>
      <c r="M167" s="13"/>
    </row>
    <row r="168">
      <c r="E168" s="13"/>
      <c r="F168" s="13"/>
      <c r="G168" s="13"/>
      <c r="H168" s="13"/>
      <c r="I168" s="13"/>
      <c r="J168" s="13"/>
      <c r="K168" s="13"/>
      <c r="L168" s="13"/>
      <c r="M168" s="13"/>
    </row>
    <row r="169">
      <c r="E169" s="13"/>
      <c r="F169" s="13"/>
      <c r="G169" s="13"/>
      <c r="H169" s="13"/>
      <c r="I169" s="13"/>
      <c r="J169" s="13"/>
      <c r="K169" s="13"/>
      <c r="L169" s="13"/>
      <c r="M169" s="13"/>
    </row>
    <row r="170">
      <c r="E170" s="13"/>
      <c r="F170" s="13"/>
      <c r="G170" s="13"/>
      <c r="H170" s="13"/>
      <c r="I170" s="13"/>
      <c r="J170" s="13"/>
      <c r="K170" s="13"/>
      <c r="L170" s="13"/>
      <c r="M170" s="13"/>
    </row>
    <row r="171">
      <c r="E171" s="13"/>
      <c r="F171" s="13"/>
      <c r="G171" s="13"/>
      <c r="H171" s="13"/>
      <c r="I171" s="13"/>
      <c r="J171" s="13"/>
      <c r="K171" s="13"/>
      <c r="L171" s="13"/>
      <c r="M171" s="13"/>
    </row>
    <row r="172">
      <c r="E172" s="13"/>
      <c r="F172" s="13"/>
      <c r="G172" s="13"/>
      <c r="H172" s="13"/>
      <c r="I172" s="13"/>
      <c r="J172" s="13"/>
      <c r="K172" s="13"/>
      <c r="L172" s="13"/>
      <c r="M172" s="13"/>
    </row>
    <row r="173">
      <c r="E173" s="13"/>
      <c r="F173" s="13"/>
      <c r="G173" s="13"/>
      <c r="H173" s="13"/>
      <c r="I173" s="13"/>
      <c r="J173" s="13"/>
      <c r="K173" s="13"/>
      <c r="L173" s="13"/>
      <c r="M173" s="13"/>
    </row>
    <row r="174">
      <c r="E174" s="13"/>
      <c r="F174" s="13"/>
      <c r="G174" s="13"/>
      <c r="H174" s="13"/>
      <c r="I174" s="13"/>
      <c r="J174" s="13"/>
      <c r="K174" s="13"/>
      <c r="L174" s="13"/>
      <c r="M174" s="13"/>
    </row>
    <row r="175">
      <c r="E175" s="13"/>
      <c r="F175" s="13"/>
      <c r="G175" s="13"/>
      <c r="H175" s="13"/>
      <c r="I175" s="13"/>
      <c r="J175" s="13"/>
      <c r="K175" s="13"/>
      <c r="L175" s="13"/>
      <c r="M175" s="13"/>
    </row>
    <row r="176">
      <c r="E176" s="13"/>
      <c r="F176" s="13"/>
      <c r="G176" s="13"/>
      <c r="H176" s="13"/>
      <c r="I176" s="13"/>
      <c r="J176" s="13"/>
      <c r="K176" s="13"/>
      <c r="L176" s="13"/>
      <c r="M176" s="13"/>
    </row>
    <row r="177">
      <c r="E177" s="13"/>
      <c r="F177" s="13"/>
      <c r="G177" s="13"/>
      <c r="H177" s="13"/>
      <c r="I177" s="13"/>
      <c r="J177" s="13"/>
      <c r="K177" s="13"/>
      <c r="L177" s="13"/>
      <c r="M177" s="13"/>
    </row>
    <row r="178">
      <c r="E178" s="13"/>
      <c r="F178" s="13"/>
      <c r="G178" s="13"/>
      <c r="H178" s="13"/>
      <c r="I178" s="13"/>
      <c r="J178" s="13"/>
      <c r="K178" s="13"/>
      <c r="L178" s="13"/>
      <c r="M178" s="13"/>
    </row>
    <row r="179">
      <c r="E179" s="13"/>
      <c r="F179" s="13"/>
      <c r="G179" s="13"/>
      <c r="H179" s="13"/>
      <c r="I179" s="13"/>
      <c r="J179" s="13"/>
      <c r="K179" s="13"/>
      <c r="L179" s="13"/>
      <c r="M179" s="13"/>
    </row>
    <row r="180">
      <c r="E180" s="13"/>
      <c r="F180" s="13"/>
      <c r="G180" s="13"/>
      <c r="H180" s="13"/>
      <c r="I180" s="13"/>
      <c r="J180" s="13"/>
      <c r="K180" s="13"/>
      <c r="L180" s="13"/>
      <c r="M180" s="13"/>
    </row>
    <row r="181">
      <c r="E181" s="13"/>
      <c r="F181" s="13"/>
      <c r="G181" s="13"/>
      <c r="H181" s="13"/>
      <c r="I181" s="13"/>
      <c r="J181" s="13"/>
      <c r="K181" s="13"/>
      <c r="L181" s="13"/>
      <c r="M181" s="13"/>
    </row>
    <row r="182">
      <c r="E182" s="13"/>
      <c r="F182" s="13"/>
      <c r="G182" s="13"/>
      <c r="H182" s="13"/>
      <c r="I182" s="13"/>
      <c r="J182" s="13"/>
      <c r="K182" s="13"/>
      <c r="L182" s="13"/>
      <c r="M182" s="13"/>
    </row>
    <row r="183">
      <c r="E183" s="13"/>
      <c r="F183" s="13"/>
      <c r="G183" s="13"/>
      <c r="H183" s="13"/>
      <c r="I183" s="13"/>
      <c r="J183" s="13"/>
      <c r="K183" s="13"/>
      <c r="L183" s="13"/>
      <c r="M183" s="13"/>
    </row>
    <row r="184">
      <c r="E184" s="13"/>
      <c r="F184" s="13"/>
      <c r="G184" s="13"/>
      <c r="H184" s="13"/>
      <c r="I184" s="13"/>
      <c r="J184" s="13"/>
      <c r="K184" s="13"/>
      <c r="L184" s="13"/>
      <c r="M184" s="13"/>
    </row>
    <row r="185">
      <c r="E185" s="13"/>
      <c r="F185" s="13"/>
      <c r="G185" s="13"/>
      <c r="H185" s="13"/>
      <c r="I185" s="13"/>
      <c r="J185" s="13"/>
      <c r="K185" s="13"/>
      <c r="L185" s="13"/>
      <c r="M185" s="13"/>
    </row>
    <row r="186">
      <c r="E186" s="13"/>
      <c r="F186" s="13"/>
      <c r="G186" s="13"/>
      <c r="H186" s="13"/>
      <c r="I186" s="13"/>
      <c r="J186" s="13"/>
      <c r="K186" s="13"/>
      <c r="L186" s="13"/>
      <c r="M186" s="13"/>
    </row>
    <row r="187">
      <c r="E187" s="13"/>
      <c r="F187" s="13"/>
      <c r="G187" s="13"/>
      <c r="H187" s="13"/>
      <c r="I187" s="13"/>
      <c r="J187" s="13"/>
      <c r="K187" s="13"/>
      <c r="L187" s="13"/>
      <c r="M187" s="13"/>
    </row>
    <row r="188">
      <c r="E188" s="13"/>
      <c r="F188" s="13"/>
      <c r="G188" s="13"/>
      <c r="H188" s="13"/>
      <c r="I188" s="13"/>
      <c r="J188" s="13"/>
      <c r="K188" s="13"/>
      <c r="L188" s="13"/>
      <c r="M188" s="13"/>
    </row>
    <row r="189">
      <c r="E189" s="13"/>
      <c r="F189" s="13"/>
      <c r="G189" s="13"/>
      <c r="H189" s="13"/>
      <c r="I189" s="13"/>
      <c r="J189" s="13"/>
      <c r="K189" s="13"/>
      <c r="L189" s="13"/>
      <c r="M189" s="13"/>
    </row>
    <row r="190">
      <c r="E190" s="13"/>
      <c r="F190" s="13"/>
      <c r="G190" s="13"/>
      <c r="H190" s="13"/>
      <c r="I190" s="13"/>
      <c r="J190" s="13"/>
      <c r="K190" s="13"/>
      <c r="L190" s="13"/>
      <c r="M190" s="13"/>
    </row>
    <row r="191">
      <c r="E191" s="13"/>
      <c r="F191" s="13"/>
      <c r="G191" s="13"/>
      <c r="H191" s="13"/>
      <c r="I191" s="13"/>
      <c r="J191" s="13"/>
      <c r="K191" s="13"/>
      <c r="L191" s="13"/>
      <c r="M191" s="13"/>
    </row>
    <row r="192">
      <c r="E192" s="13"/>
      <c r="F192" s="13"/>
      <c r="G192" s="13"/>
      <c r="H192" s="13"/>
      <c r="I192" s="13"/>
      <c r="J192" s="13"/>
      <c r="K192" s="13"/>
      <c r="L192" s="13"/>
      <c r="M192" s="13"/>
    </row>
    <row r="193">
      <c r="E193" s="13"/>
      <c r="F193" s="13"/>
      <c r="G193" s="13"/>
      <c r="H193" s="13"/>
      <c r="I193" s="13"/>
      <c r="J193" s="13"/>
      <c r="K193" s="13"/>
      <c r="L193" s="13"/>
      <c r="M193" s="13"/>
    </row>
    <row r="194">
      <c r="E194" s="13"/>
      <c r="F194" s="13"/>
      <c r="G194" s="13"/>
      <c r="H194" s="13"/>
      <c r="I194" s="13"/>
      <c r="J194" s="13"/>
      <c r="K194" s="13"/>
      <c r="L194" s="13"/>
      <c r="M194" s="13"/>
    </row>
    <row r="195">
      <c r="E195" s="13"/>
      <c r="F195" s="13"/>
      <c r="G195" s="13"/>
      <c r="H195" s="13"/>
      <c r="I195" s="13"/>
      <c r="J195" s="13"/>
      <c r="K195" s="13"/>
      <c r="L195" s="13"/>
      <c r="M195" s="13"/>
    </row>
    <row r="196">
      <c r="E196" s="13"/>
      <c r="F196" s="13"/>
      <c r="G196" s="13"/>
      <c r="H196" s="13"/>
      <c r="I196" s="13"/>
      <c r="J196" s="13"/>
      <c r="K196" s="13"/>
      <c r="L196" s="13"/>
      <c r="M196" s="13"/>
    </row>
    <row r="197">
      <c r="E197" s="13"/>
      <c r="F197" s="13"/>
      <c r="G197" s="13"/>
      <c r="H197" s="13"/>
      <c r="I197" s="13"/>
      <c r="J197" s="13"/>
      <c r="K197" s="13"/>
      <c r="L197" s="13"/>
      <c r="M197" s="13"/>
    </row>
    <row r="198">
      <c r="E198" s="13"/>
      <c r="F198" s="13"/>
      <c r="G198" s="13"/>
      <c r="H198" s="13"/>
      <c r="I198" s="13"/>
      <c r="J198" s="13"/>
      <c r="K198" s="13"/>
      <c r="L198" s="13"/>
      <c r="M198" s="13"/>
    </row>
    <row r="199">
      <c r="E199" s="13"/>
      <c r="F199" s="13"/>
      <c r="G199" s="13"/>
      <c r="H199" s="13"/>
      <c r="I199" s="13"/>
      <c r="J199" s="13"/>
      <c r="K199" s="13"/>
      <c r="L199" s="13"/>
      <c r="M199" s="13"/>
    </row>
    <row r="200">
      <c r="E200" s="13"/>
      <c r="F200" s="13"/>
      <c r="G200" s="13"/>
      <c r="H200" s="13"/>
      <c r="I200" s="13"/>
      <c r="J200" s="13"/>
      <c r="K200" s="13"/>
      <c r="L200" s="13"/>
      <c r="M200" s="13"/>
    </row>
    <row r="201">
      <c r="E201" s="13"/>
      <c r="F201" s="13"/>
      <c r="G201" s="13"/>
      <c r="H201" s="13"/>
      <c r="I201" s="13"/>
      <c r="J201" s="13"/>
      <c r="K201" s="13"/>
      <c r="L201" s="13"/>
      <c r="M201" s="13"/>
    </row>
    <row r="202">
      <c r="E202" s="13"/>
      <c r="F202" s="13"/>
      <c r="G202" s="13"/>
      <c r="H202" s="13"/>
      <c r="I202" s="13"/>
      <c r="J202" s="13"/>
      <c r="K202" s="13"/>
      <c r="L202" s="13"/>
      <c r="M202" s="13"/>
    </row>
    <row r="203">
      <c r="E203" s="13"/>
      <c r="F203" s="13"/>
      <c r="G203" s="13"/>
      <c r="H203" s="13"/>
      <c r="I203" s="13"/>
      <c r="J203" s="13"/>
      <c r="K203" s="13"/>
      <c r="L203" s="13"/>
      <c r="M203" s="13"/>
    </row>
    <row r="204">
      <c r="E204" s="13"/>
      <c r="F204" s="13"/>
      <c r="G204" s="13"/>
      <c r="H204" s="13"/>
      <c r="I204" s="13"/>
      <c r="J204" s="13"/>
      <c r="K204" s="13"/>
      <c r="L204" s="13"/>
      <c r="M204" s="13"/>
    </row>
    <row r="205">
      <c r="E205" s="13"/>
      <c r="F205" s="13"/>
      <c r="G205" s="13"/>
      <c r="H205" s="13"/>
      <c r="I205" s="13"/>
      <c r="J205" s="13"/>
      <c r="K205" s="13"/>
      <c r="L205" s="13"/>
      <c r="M205" s="13"/>
    </row>
    <row r="206">
      <c r="E206" s="13"/>
      <c r="F206" s="13"/>
      <c r="G206" s="13"/>
      <c r="H206" s="13"/>
      <c r="I206" s="13"/>
      <c r="J206" s="13"/>
      <c r="K206" s="13"/>
      <c r="L206" s="13"/>
      <c r="M206" s="13"/>
    </row>
    <row r="207">
      <c r="E207" s="13"/>
      <c r="F207" s="13"/>
      <c r="G207" s="13"/>
      <c r="H207" s="13"/>
      <c r="I207" s="13"/>
      <c r="J207" s="13"/>
      <c r="K207" s="13"/>
      <c r="L207" s="13"/>
      <c r="M207" s="13"/>
    </row>
    <row r="208">
      <c r="E208" s="13"/>
      <c r="F208" s="13"/>
      <c r="G208" s="13"/>
      <c r="H208" s="13"/>
      <c r="I208" s="13"/>
      <c r="J208" s="13"/>
      <c r="K208" s="13"/>
      <c r="L208" s="13"/>
      <c r="M208" s="13"/>
    </row>
    <row r="209">
      <c r="E209" s="13"/>
      <c r="F209" s="13"/>
      <c r="G209" s="13"/>
      <c r="H209" s="13"/>
      <c r="I209" s="13"/>
      <c r="J209" s="13"/>
      <c r="K209" s="13"/>
      <c r="L209" s="13"/>
      <c r="M209" s="13"/>
    </row>
    <row r="210">
      <c r="E210" s="13"/>
      <c r="F210" s="13"/>
      <c r="G210" s="13"/>
      <c r="H210" s="13"/>
      <c r="I210" s="13"/>
      <c r="J210" s="13"/>
      <c r="K210" s="13"/>
      <c r="L210" s="13"/>
      <c r="M210" s="13"/>
    </row>
    <row r="211">
      <c r="E211" s="13"/>
      <c r="F211" s="13"/>
      <c r="G211" s="13"/>
      <c r="H211" s="13"/>
      <c r="I211" s="13"/>
      <c r="J211" s="13"/>
      <c r="K211" s="13"/>
      <c r="L211" s="13"/>
      <c r="M211" s="13"/>
    </row>
    <row r="212">
      <c r="E212" s="13"/>
      <c r="F212" s="13"/>
      <c r="G212" s="13"/>
      <c r="H212" s="13"/>
      <c r="I212" s="13"/>
      <c r="J212" s="13"/>
      <c r="K212" s="13"/>
      <c r="L212" s="13"/>
      <c r="M212" s="13"/>
    </row>
    <row r="213">
      <c r="E213" s="13"/>
      <c r="F213" s="13"/>
      <c r="G213" s="13"/>
      <c r="H213" s="13"/>
      <c r="I213" s="13"/>
      <c r="J213" s="13"/>
      <c r="K213" s="13"/>
      <c r="L213" s="13"/>
      <c r="M213" s="13"/>
    </row>
    <row r="214">
      <c r="E214" s="13"/>
      <c r="F214" s="13"/>
      <c r="G214" s="13"/>
      <c r="H214" s="13"/>
      <c r="I214" s="13"/>
      <c r="J214" s="13"/>
      <c r="K214" s="13"/>
      <c r="L214" s="13"/>
      <c r="M214" s="13"/>
    </row>
    <row r="215">
      <c r="E215" s="13"/>
      <c r="F215" s="13"/>
      <c r="G215" s="13"/>
      <c r="H215" s="13"/>
      <c r="I215" s="13"/>
      <c r="J215" s="13"/>
      <c r="K215" s="13"/>
      <c r="L215" s="13"/>
      <c r="M215" s="13"/>
    </row>
    <row r="216">
      <c r="E216" s="13"/>
      <c r="F216" s="13"/>
      <c r="G216" s="13"/>
      <c r="H216" s="13"/>
      <c r="I216" s="13"/>
      <c r="J216" s="13"/>
      <c r="K216" s="13"/>
      <c r="L216" s="13"/>
      <c r="M216" s="13"/>
    </row>
    <row r="217">
      <c r="E217" s="13"/>
      <c r="F217" s="13"/>
      <c r="G217" s="13"/>
      <c r="H217" s="13"/>
      <c r="I217" s="13"/>
      <c r="J217" s="13"/>
      <c r="K217" s="13"/>
      <c r="L217" s="13"/>
      <c r="M217" s="13"/>
    </row>
    <row r="218">
      <c r="E218" s="13"/>
      <c r="F218" s="13"/>
      <c r="G218" s="13"/>
      <c r="H218" s="13"/>
      <c r="I218" s="13"/>
      <c r="J218" s="13"/>
      <c r="K218" s="13"/>
      <c r="L218" s="13"/>
      <c r="M218" s="13"/>
    </row>
    <row r="219">
      <c r="E219" s="13"/>
      <c r="F219" s="13"/>
      <c r="G219" s="13"/>
      <c r="H219" s="13"/>
      <c r="I219" s="13"/>
      <c r="J219" s="13"/>
      <c r="K219" s="13"/>
      <c r="L219" s="13"/>
      <c r="M219" s="13"/>
    </row>
    <row r="220">
      <c r="E220" s="13"/>
      <c r="F220" s="13"/>
      <c r="G220" s="13"/>
      <c r="H220" s="13"/>
      <c r="I220" s="13"/>
      <c r="J220" s="13"/>
      <c r="K220" s="13"/>
      <c r="L220" s="13"/>
      <c r="M220" s="13"/>
    </row>
    <row r="221">
      <c r="E221" s="13"/>
      <c r="F221" s="13"/>
      <c r="G221" s="13"/>
      <c r="H221" s="13"/>
      <c r="I221" s="13"/>
      <c r="J221" s="13"/>
      <c r="K221" s="13"/>
      <c r="L221" s="13"/>
      <c r="M221" s="13"/>
    </row>
    <row r="222">
      <c r="E222" s="13"/>
      <c r="F222" s="13"/>
      <c r="G222" s="13"/>
      <c r="H222" s="13"/>
      <c r="I222" s="13"/>
      <c r="J222" s="13"/>
      <c r="K222" s="13"/>
      <c r="L222" s="13"/>
      <c r="M222" s="13"/>
    </row>
    <row r="223">
      <c r="E223" s="13"/>
      <c r="F223" s="13"/>
      <c r="G223" s="13"/>
      <c r="H223" s="13"/>
      <c r="I223" s="13"/>
      <c r="J223" s="13"/>
      <c r="K223" s="13"/>
      <c r="L223" s="13"/>
      <c r="M223" s="13"/>
    </row>
    <row r="224">
      <c r="E224" s="13"/>
      <c r="F224" s="13"/>
      <c r="G224" s="13"/>
      <c r="H224" s="13"/>
      <c r="I224" s="13"/>
      <c r="J224" s="13"/>
      <c r="K224" s="13"/>
      <c r="L224" s="13"/>
      <c r="M224" s="13"/>
    </row>
    <row r="225">
      <c r="E225" s="13"/>
      <c r="F225" s="13"/>
      <c r="G225" s="13"/>
      <c r="H225" s="13"/>
      <c r="I225" s="13"/>
      <c r="J225" s="13"/>
      <c r="K225" s="13"/>
      <c r="L225" s="13"/>
      <c r="M225" s="13"/>
    </row>
    <row r="226">
      <c r="E226" s="13"/>
      <c r="F226" s="13"/>
      <c r="G226" s="13"/>
      <c r="H226" s="13"/>
      <c r="I226" s="13"/>
      <c r="J226" s="13"/>
      <c r="K226" s="13"/>
      <c r="L226" s="13"/>
      <c r="M226" s="13"/>
    </row>
    <row r="227">
      <c r="E227" s="13"/>
      <c r="F227" s="13"/>
      <c r="G227" s="13"/>
      <c r="H227" s="13"/>
      <c r="I227" s="13"/>
      <c r="J227" s="13"/>
      <c r="K227" s="13"/>
      <c r="L227" s="13"/>
      <c r="M227" s="13"/>
    </row>
    <row r="228">
      <c r="E228" s="13"/>
      <c r="F228" s="13"/>
      <c r="G228" s="13"/>
      <c r="H228" s="13"/>
      <c r="I228" s="13"/>
      <c r="J228" s="13"/>
      <c r="K228" s="13"/>
      <c r="L228" s="13"/>
      <c r="M228" s="13"/>
    </row>
    <row r="229">
      <c r="E229" s="13"/>
      <c r="F229" s="13"/>
      <c r="G229" s="13"/>
      <c r="H229" s="13"/>
      <c r="I229" s="13"/>
      <c r="J229" s="13"/>
      <c r="K229" s="13"/>
      <c r="L229" s="13"/>
      <c r="M229" s="13"/>
    </row>
    <row r="230">
      <c r="E230" s="13"/>
      <c r="F230" s="13"/>
      <c r="G230" s="13"/>
      <c r="H230" s="13"/>
      <c r="I230" s="13"/>
      <c r="J230" s="13"/>
      <c r="K230" s="13"/>
      <c r="L230" s="13"/>
      <c r="M230" s="13"/>
    </row>
    <row r="231">
      <c r="E231" s="13"/>
      <c r="F231" s="13"/>
      <c r="G231" s="13"/>
      <c r="H231" s="13"/>
      <c r="I231" s="13"/>
      <c r="J231" s="13"/>
      <c r="K231" s="13"/>
      <c r="L231" s="13"/>
      <c r="M231" s="13"/>
    </row>
    <row r="232">
      <c r="E232" s="13"/>
      <c r="F232" s="13"/>
      <c r="G232" s="13"/>
      <c r="H232" s="13"/>
      <c r="I232" s="13"/>
      <c r="J232" s="13"/>
      <c r="K232" s="13"/>
      <c r="L232" s="13"/>
      <c r="M232" s="13"/>
    </row>
    <row r="233">
      <c r="E233" s="13"/>
      <c r="F233" s="13"/>
      <c r="G233" s="13"/>
      <c r="H233" s="13"/>
      <c r="I233" s="13"/>
      <c r="J233" s="13"/>
      <c r="K233" s="13"/>
      <c r="L233" s="13"/>
      <c r="M233" s="13"/>
    </row>
    <row r="234">
      <c r="E234" s="13"/>
      <c r="F234" s="13"/>
      <c r="G234" s="13"/>
      <c r="H234" s="13"/>
      <c r="I234" s="13"/>
      <c r="J234" s="13"/>
      <c r="K234" s="13"/>
      <c r="L234" s="13"/>
      <c r="M234" s="13"/>
    </row>
    <row r="235">
      <c r="E235" s="13"/>
      <c r="F235" s="13"/>
      <c r="G235" s="13"/>
      <c r="H235" s="13"/>
      <c r="I235" s="13"/>
      <c r="J235" s="13"/>
      <c r="K235" s="13"/>
      <c r="L235" s="13"/>
      <c r="M235" s="13"/>
    </row>
    <row r="236">
      <c r="E236" s="13"/>
      <c r="F236" s="13"/>
      <c r="G236" s="13"/>
      <c r="H236" s="13"/>
      <c r="I236" s="13"/>
      <c r="J236" s="13"/>
      <c r="K236" s="13"/>
      <c r="L236" s="13"/>
      <c r="M236" s="13"/>
    </row>
    <row r="237">
      <c r="E237" s="13"/>
      <c r="F237" s="13"/>
      <c r="G237" s="13"/>
      <c r="H237" s="13"/>
      <c r="I237" s="13"/>
      <c r="J237" s="13"/>
      <c r="K237" s="13"/>
      <c r="L237" s="13"/>
      <c r="M237" s="13"/>
    </row>
    <row r="238">
      <c r="E238" s="13"/>
      <c r="F238" s="13"/>
      <c r="G238" s="13"/>
      <c r="H238" s="13"/>
      <c r="I238" s="13"/>
      <c r="J238" s="13"/>
      <c r="K238" s="13"/>
      <c r="L238" s="13"/>
      <c r="M238" s="13"/>
    </row>
    <row r="239">
      <c r="E239" s="13"/>
      <c r="F239" s="13"/>
      <c r="G239" s="13"/>
      <c r="H239" s="13"/>
      <c r="I239" s="13"/>
      <c r="J239" s="13"/>
      <c r="K239" s="13"/>
      <c r="L239" s="13"/>
      <c r="M239" s="13"/>
    </row>
    <row r="240">
      <c r="E240" s="13"/>
      <c r="F240" s="13"/>
      <c r="G240" s="13"/>
      <c r="H240" s="13"/>
      <c r="I240" s="13"/>
      <c r="J240" s="13"/>
      <c r="K240" s="13"/>
      <c r="L240" s="13"/>
      <c r="M240" s="13"/>
    </row>
    <row r="241">
      <c r="E241" s="13"/>
      <c r="F241" s="13"/>
      <c r="G241" s="13"/>
      <c r="H241" s="13"/>
      <c r="I241" s="13"/>
      <c r="J241" s="13"/>
      <c r="K241" s="13"/>
      <c r="L241" s="13"/>
      <c r="M241" s="13"/>
    </row>
    <row r="242">
      <c r="E242" s="13"/>
      <c r="F242" s="13"/>
      <c r="G242" s="13"/>
      <c r="H242" s="13"/>
      <c r="I242" s="13"/>
      <c r="J242" s="13"/>
      <c r="K242" s="13"/>
      <c r="L242" s="13"/>
      <c r="M242" s="13"/>
    </row>
    <row r="243">
      <c r="E243" s="13"/>
      <c r="F243" s="13"/>
      <c r="G243" s="13"/>
      <c r="H243" s="13"/>
      <c r="I243" s="13"/>
      <c r="J243" s="13"/>
      <c r="K243" s="13"/>
      <c r="L243" s="13"/>
      <c r="M243" s="13"/>
    </row>
    <row r="244">
      <c r="E244" s="13"/>
      <c r="F244" s="13"/>
      <c r="G244" s="13"/>
      <c r="H244" s="13"/>
      <c r="I244" s="13"/>
      <c r="J244" s="13"/>
      <c r="K244" s="13"/>
      <c r="L244" s="13"/>
      <c r="M244" s="13"/>
    </row>
    <row r="245">
      <c r="E245" s="13"/>
      <c r="F245" s="13"/>
      <c r="G245" s="13"/>
      <c r="H245" s="13"/>
      <c r="I245" s="13"/>
      <c r="J245" s="13"/>
      <c r="K245" s="13"/>
      <c r="L245" s="13"/>
      <c r="M245" s="13"/>
    </row>
    <row r="246">
      <c r="E246" s="13"/>
      <c r="F246" s="13"/>
      <c r="G246" s="13"/>
      <c r="H246" s="13"/>
      <c r="I246" s="13"/>
      <c r="J246" s="13"/>
      <c r="K246" s="13"/>
      <c r="L246" s="13"/>
      <c r="M246" s="13"/>
    </row>
    <row r="247">
      <c r="E247" s="13"/>
      <c r="F247" s="13"/>
      <c r="G247" s="13"/>
      <c r="H247" s="13"/>
      <c r="I247" s="13"/>
      <c r="J247" s="13"/>
      <c r="K247" s="13"/>
      <c r="L247" s="13"/>
      <c r="M247" s="13"/>
    </row>
    <row r="248">
      <c r="E248" s="13"/>
      <c r="F248" s="13"/>
      <c r="G248" s="13"/>
      <c r="H248" s="13"/>
      <c r="I248" s="13"/>
      <c r="J248" s="13"/>
      <c r="K248" s="13"/>
      <c r="L248" s="13"/>
      <c r="M248" s="13"/>
    </row>
    <row r="249">
      <c r="E249" s="13"/>
      <c r="F249" s="13"/>
      <c r="G249" s="13"/>
      <c r="H249" s="13"/>
      <c r="I249" s="13"/>
      <c r="J249" s="13"/>
      <c r="K249" s="13"/>
      <c r="L249" s="13"/>
      <c r="M249" s="13"/>
    </row>
    <row r="250">
      <c r="E250" s="13"/>
      <c r="F250" s="13"/>
      <c r="G250" s="13"/>
      <c r="H250" s="13"/>
      <c r="I250" s="13"/>
      <c r="J250" s="13"/>
      <c r="K250" s="13"/>
      <c r="L250" s="13"/>
      <c r="M250" s="13"/>
    </row>
    <row r="251">
      <c r="E251" s="13"/>
      <c r="F251" s="13"/>
      <c r="G251" s="13"/>
      <c r="H251" s="13"/>
      <c r="I251" s="13"/>
      <c r="J251" s="13"/>
      <c r="K251" s="13"/>
      <c r="L251" s="13"/>
      <c r="M251" s="13"/>
    </row>
    <row r="252">
      <c r="E252" s="13"/>
      <c r="F252" s="13"/>
      <c r="G252" s="13"/>
      <c r="H252" s="13"/>
      <c r="I252" s="13"/>
      <c r="J252" s="13"/>
      <c r="K252" s="13"/>
      <c r="L252" s="13"/>
      <c r="M252" s="13"/>
    </row>
    <row r="253">
      <c r="E253" s="13"/>
      <c r="F253" s="13"/>
      <c r="G253" s="13"/>
      <c r="H253" s="13"/>
      <c r="I253" s="13"/>
      <c r="J253" s="13"/>
      <c r="K253" s="13"/>
      <c r="L253" s="13"/>
      <c r="M253" s="13"/>
    </row>
    <row r="254">
      <c r="E254" s="13"/>
      <c r="F254" s="13"/>
      <c r="G254" s="13"/>
      <c r="H254" s="13"/>
      <c r="I254" s="13"/>
      <c r="J254" s="13"/>
      <c r="K254" s="13"/>
      <c r="L254" s="13"/>
      <c r="M254" s="13"/>
    </row>
    <row r="255">
      <c r="E255" s="13"/>
      <c r="F255" s="13"/>
      <c r="G255" s="13"/>
      <c r="H255" s="13"/>
      <c r="I255" s="13"/>
      <c r="J255" s="13"/>
      <c r="K255" s="13"/>
      <c r="L255" s="13"/>
      <c r="M255" s="13"/>
    </row>
    <row r="256">
      <c r="E256" s="13"/>
      <c r="F256" s="13"/>
      <c r="G256" s="13"/>
      <c r="H256" s="13"/>
      <c r="I256" s="13"/>
      <c r="J256" s="13"/>
      <c r="K256" s="13"/>
      <c r="L256" s="13"/>
      <c r="M256" s="13"/>
    </row>
    <row r="257">
      <c r="E257" s="13"/>
      <c r="F257" s="13"/>
      <c r="G257" s="13"/>
      <c r="H257" s="13"/>
      <c r="I257" s="13"/>
      <c r="J257" s="13"/>
      <c r="K257" s="13"/>
      <c r="L257" s="13"/>
      <c r="M257" s="13"/>
    </row>
    <row r="258">
      <c r="E258" s="13"/>
      <c r="F258" s="13"/>
      <c r="G258" s="13"/>
      <c r="H258" s="13"/>
      <c r="I258" s="13"/>
      <c r="J258" s="13"/>
      <c r="K258" s="13"/>
      <c r="L258" s="13"/>
      <c r="M258" s="13"/>
    </row>
    <row r="259">
      <c r="E259" s="13"/>
      <c r="F259" s="13"/>
      <c r="G259" s="13"/>
      <c r="H259" s="13"/>
      <c r="I259" s="13"/>
      <c r="J259" s="13"/>
      <c r="K259" s="13"/>
      <c r="L259" s="13"/>
      <c r="M259" s="13"/>
    </row>
    <row r="260">
      <c r="E260" s="13"/>
      <c r="F260" s="13"/>
      <c r="G260" s="13"/>
      <c r="H260" s="13"/>
      <c r="I260" s="13"/>
      <c r="J260" s="13"/>
      <c r="K260" s="13"/>
      <c r="L260" s="13"/>
      <c r="M260" s="13"/>
    </row>
    <row r="261">
      <c r="E261" s="13"/>
      <c r="F261" s="13"/>
      <c r="G261" s="13"/>
      <c r="H261" s="13"/>
      <c r="I261" s="13"/>
      <c r="J261" s="13"/>
      <c r="K261" s="13"/>
      <c r="L261" s="13"/>
      <c r="M261" s="13"/>
    </row>
    <row r="262">
      <c r="E262" s="13"/>
      <c r="F262" s="13"/>
      <c r="G262" s="13"/>
      <c r="H262" s="13"/>
      <c r="I262" s="13"/>
      <c r="J262" s="13"/>
      <c r="K262" s="13"/>
      <c r="L262" s="13"/>
      <c r="M262" s="13"/>
    </row>
    <row r="263">
      <c r="E263" s="13"/>
      <c r="F263" s="13"/>
      <c r="G263" s="13"/>
      <c r="H263" s="13"/>
      <c r="I263" s="13"/>
      <c r="J263" s="13"/>
      <c r="K263" s="13"/>
      <c r="L263" s="13"/>
      <c r="M263" s="13"/>
    </row>
    <row r="264">
      <c r="E264" s="13"/>
      <c r="F264" s="13"/>
      <c r="G264" s="13"/>
      <c r="H264" s="13"/>
      <c r="I264" s="13"/>
      <c r="J264" s="13"/>
      <c r="K264" s="13"/>
      <c r="L264" s="13"/>
      <c r="M264" s="13"/>
    </row>
    <row r="265">
      <c r="E265" s="13"/>
      <c r="F265" s="13"/>
      <c r="G265" s="13"/>
      <c r="H265" s="13"/>
      <c r="I265" s="13"/>
      <c r="J265" s="13"/>
      <c r="K265" s="13"/>
      <c r="L265" s="13"/>
      <c r="M265" s="13"/>
    </row>
    <row r="266">
      <c r="E266" s="13"/>
      <c r="F266" s="13"/>
      <c r="G266" s="13"/>
      <c r="H266" s="13"/>
      <c r="I266" s="13"/>
      <c r="J266" s="13"/>
      <c r="K266" s="13"/>
      <c r="L266" s="13"/>
      <c r="M266" s="13"/>
    </row>
    <row r="267">
      <c r="E267" s="13"/>
      <c r="F267" s="13"/>
      <c r="G267" s="13"/>
      <c r="H267" s="13"/>
      <c r="I267" s="13"/>
      <c r="J267" s="13"/>
      <c r="K267" s="13"/>
      <c r="L267" s="13"/>
      <c r="M267" s="13"/>
    </row>
    <row r="268">
      <c r="E268" s="13"/>
      <c r="F268" s="13"/>
      <c r="G268" s="13"/>
      <c r="H268" s="13"/>
      <c r="I268" s="13"/>
      <c r="J268" s="13"/>
      <c r="K268" s="13"/>
      <c r="L268" s="13"/>
      <c r="M268" s="13"/>
    </row>
    <row r="269">
      <c r="E269" s="13"/>
      <c r="F269" s="13"/>
      <c r="G269" s="13"/>
      <c r="H269" s="13"/>
      <c r="I269" s="13"/>
      <c r="J269" s="13"/>
      <c r="K269" s="13"/>
      <c r="L269" s="13"/>
      <c r="M269" s="13"/>
    </row>
    <row r="270">
      <c r="E270" s="13"/>
      <c r="F270" s="13"/>
      <c r="G270" s="13"/>
      <c r="H270" s="13"/>
      <c r="I270" s="13"/>
      <c r="J270" s="13"/>
      <c r="K270" s="13"/>
      <c r="L270" s="13"/>
      <c r="M270" s="13"/>
    </row>
    <row r="271">
      <c r="E271" s="13"/>
      <c r="F271" s="13"/>
      <c r="G271" s="13"/>
      <c r="H271" s="13"/>
      <c r="I271" s="13"/>
      <c r="J271" s="13"/>
      <c r="K271" s="13"/>
      <c r="L271" s="13"/>
      <c r="M271" s="13"/>
    </row>
    <row r="272">
      <c r="E272" s="13"/>
      <c r="F272" s="13"/>
      <c r="G272" s="13"/>
      <c r="H272" s="13"/>
      <c r="I272" s="13"/>
      <c r="J272" s="13"/>
      <c r="K272" s="13"/>
      <c r="L272" s="13"/>
      <c r="M272" s="13"/>
    </row>
    <row r="273">
      <c r="E273" s="13"/>
      <c r="F273" s="13"/>
      <c r="G273" s="13"/>
      <c r="H273" s="13"/>
      <c r="I273" s="13"/>
      <c r="J273" s="13"/>
      <c r="K273" s="13"/>
      <c r="L273" s="13"/>
      <c r="M273" s="13"/>
    </row>
    <row r="274">
      <c r="E274" s="13"/>
      <c r="F274" s="13"/>
      <c r="G274" s="13"/>
      <c r="H274" s="13"/>
      <c r="I274" s="13"/>
      <c r="J274" s="13"/>
      <c r="K274" s="13"/>
      <c r="L274" s="13"/>
      <c r="M274" s="13"/>
    </row>
    <row r="275">
      <c r="E275" s="13"/>
      <c r="F275" s="13"/>
      <c r="G275" s="13"/>
      <c r="H275" s="13"/>
      <c r="I275" s="13"/>
      <c r="J275" s="13"/>
      <c r="K275" s="13"/>
      <c r="L275" s="13"/>
      <c r="M275" s="13"/>
    </row>
    <row r="276">
      <c r="E276" s="13"/>
      <c r="F276" s="13"/>
      <c r="G276" s="13"/>
      <c r="H276" s="13"/>
      <c r="I276" s="13"/>
      <c r="J276" s="13"/>
      <c r="K276" s="13"/>
      <c r="L276" s="13"/>
      <c r="M276" s="13"/>
    </row>
    <row r="277">
      <c r="E277" s="13"/>
      <c r="F277" s="13"/>
      <c r="G277" s="13"/>
      <c r="H277" s="13"/>
      <c r="I277" s="13"/>
      <c r="J277" s="13"/>
      <c r="K277" s="13"/>
      <c r="L277" s="13"/>
      <c r="M277" s="13"/>
    </row>
    <row r="278">
      <c r="E278" s="13"/>
      <c r="F278" s="13"/>
      <c r="G278" s="13"/>
      <c r="H278" s="13"/>
      <c r="I278" s="13"/>
      <c r="J278" s="13"/>
      <c r="K278" s="13"/>
      <c r="L278" s="13"/>
      <c r="M278" s="13"/>
    </row>
    <row r="279">
      <c r="E279" s="13"/>
      <c r="F279" s="13"/>
      <c r="G279" s="13"/>
      <c r="H279" s="13"/>
      <c r="I279" s="13"/>
      <c r="J279" s="13"/>
      <c r="K279" s="13"/>
      <c r="L279" s="13"/>
      <c r="M279" s="13"/>
    </row>
    <row r="280">
      <c r="E280" s="13"/>
      <c r="F280" s="13"/>
      <c r="G280" s="13"/>
      <c r="H280" s="13"/>
      <c r="I280" s="13"/>
      <c r="J280" s="13"/>
      <c r="K280" s="13"/>
      <c r="L280" s="13"/>
      <c r="M280" s="13"/>
    </row>
    <row r="281">
      <c r="E281" s="13"/>
      <c r="F281" s="13"/>
      <c r="G281" s="13"/>
      <c r="H281" s="13"/>
      <c r="I281" s="13"/>
      <c r="J281" s="13"/>
      <c r="K281" s="13"/>
      <c r="L281" s="13"/>
      <c r="M281" s="13"/>
    </row>
    <row r="282">
      <c r="E282" s="13"/>
      <c r="F282" s="13"/>
      <c r="G282" s="13"/>
      <c r="H282" s="13"/>
      <c r="I282" s="13"/>
      <c r="J282" s="13"/>
      <c r="K282" s="13"/>
      <c r="L282" s="13"/>
      <c r="M282" s="13"/>
    </row>
    <row r="283">
      <c r="E283" s="13"/>
      <c r="F283" s="13"/>
      <c r="G283" s="13"/>
      <c r="H283" s="13"/>
      <c r="I283" s="13"/>
      <c r="J283" s="13"/>
      <c r="K283" s="13"/>
      <c r="L283" s="13"/>
      <c r="M283" s="13"/>
    </row>
    <row r="284">
      <c r="E284" s="13"/>
      <c r="F284" s="13"/>
      <c r="G284" s="13"/>
      <c r="H284" s="13"/>
      <c r="I284" s="13"/>
      <c r="J284" s="13"/>
      <c r="K284" s="13"/>
      <c r="L284" s="13"/>
      <c r="M284" s="13"/>
    </row>
    <row r="285">
      <c r="E285" s="13"/>
      <c r="F285" s="13"/>
      <c r="G285" s="13"/>
      <c r="H285" s="13"/>
      <c r="I285" s="13"/>
      <c r="J285" s="13"/>
      <c r="K285" s="13"/>
      <c r="L285" s="13"/>
      <c r="M285" s="13"/>
    </row>
    <row r="286">
      <c r="E286" s="13"/>
      <c r="F286" s="13"/>
      <c r="G286" s="13"/>
      <c r="H286" s="13"/>
      <c r="I286" s="13"/>
      <c r="J286" s="13"/>
      <c r="K286" s="13"/>
      <c r="L286" s="13"/>
      <c r="M286" s="13"/>
    </row>
    <row r="287">
      <c r="E287" s="13"/>
      <c r="F287" s="13"/>
      <c r="G287" s="13"/>
      <c r="H287" s="13"/>
      <c r="I287" s="13"/>
      <c r="J287" s="13"/>
      <c r="K287" s="13"/>
      <c r="L287" s="13"/>
      <c r="M287" s="13"/>
    </row>
    <row r="288">
      <c r="E288" s="13"/>
      <c r="F288" s="13"/>
      <c r="G288" s="13"/>
      <c r="H288" s="13"/>
      <c r="I288" s="13"/>
      <c r="J288" s="13"/>
      <c r="K288" s="13"/>
      <c r="L288" s="13"/>
      <c r="M288" s="13"/>
    </row>
    <row r="289">
      <c r="E289" s="13"/>
      <c r="F289" s="13"/>
      <c r="G289" s="13"/>
      <c r="H289" s="13"/>
      <c r="I289" s="13"/>
      <c r="J289" s="13"/>
      <c r="K289" s="13"/>
      <c r="L289" s="13"/>
      <c r="M289" s="13"/>
    </row>
    <row r="290">
      <c r="E290" s="13"/>
      <c r="F290" s="13"/>
      <c r="G290" s="13"/>
      <c r="H290" s="13"/>
      <c r="I290" s="13"/>
      <c r="J290" s="13"/>
      <c r="K290" s="13"/>
      <c r="L290" s="13"/>
      <c r="M290" s="13"/>
    </row>
    <row r="291">
      <c r="E291" s="13"/>
      <c r="F291" s="13"/>
      <c r="G291" s="13"/>
      <c r="H291" s="13"/>
      <c r="I291" s="13"/>
      <c r="J291" s="13"/>
      <c r="K291" s="13"/>
      <c r="L291" s="13"/>
      <c r="M291" s="13"/>
    </row>
    <row r="292">
      <c r="E292" s="13"/>
      <c r="F292" s="13"/>
      <c r="G292" s="13"/>
      <c r="H292" s="13"/>
      <c r="I292" s="13"/>
      <c r="J292" s="13"/>
      <c r="K292" s="13"/>
      <c r="L292" s="13"/>
      <c r="M292" s="13"/>
    </row>
    <row r="293">
      <c r="E293" s="13"/>
      <c r="F293" s="13"/>
      <c r="G293" s="13"/>
      <c r="H293" s="13"/>
      <c r="I293" s="13"/>
      <c r="J293" s="13"/>
      <c r="K293" s="13"/>
      <c r="L293" s="13"/>
      <c r="M293" s="13"/>
    </row>
    <row r="294">
      <c r="E294" s="13"/>
      <c r="F294" s="13"/>
      <c r="G294" s="13"/>
      <c r="H294" s="13"/>
      <c r="I294" s="13"/>
      <c r="J294" s="13"/>
      <c r="K294" s="13"/>
      <c r="L294" s="13"/>
      <c r="M294" s="13"/>
    </row>
    <row r="295">
      <c r="E295" s="13"/>
      <c r="F295" s="13"/>
      <c r="G295" s="13"/>
      <c r="H295" s="13"/>
      <c r="I295" s="13"/>
      <c r="J295" s="13"/>
      <c r="K295" s="13"/>
      <c r="L295" s="13"/>
      <c r="M295" s="13"/>
    </row>
    <row r="296">
      <c r="E296" s="13"/>
      <c r="F296" s="13"/>
      <c r="G296" s="13"/>
      <c r="H296" s="13"/>
      <c r="I296" s="13"/>
      <c r="J296" s="13"/>
      <c r="K296" s="13"/>
      <c r="L296" s="13"/>
      <c r="M296" s="13"/>
    </row>
    <row r="297">
      <c r="E297" s="13"/>
      <c r="F297" s="13"/>
      <c r="G297" s="13"/>
      <c r="H297" s="13"/>
      <c r="I297" s="13"/>
      <c r="J297" s="13"/>
      <c r="K297" s="13"/>
      <c r="L297" s="13"/>
      <c r="M297" s="13"/>
    </row>
    <row r="298">
      <c r="E298" s="13"/>
      <c r="F298" s="13"/>
      <c r="G298" s="13"/>
      <c r="H298" s="13"/>
      <c r="I298" s="13"/>
      <c r="J298" s="13"/>
      <c r="K298" s="13"/>
      <c r="L298" s="13"/>
      <c r="M298" s="13"/>
    </row>
    <row r="299">
      <c r="E299" s="13"/>
      <c r="F299" s="13"/>
      <c r="G299" s="13"/>
      <c r="H299" s="13"/>
      <c r="I299" s="13"/>
      <c r="J299" s="13"/>
      <c r="K299" s="13"/>
      <c r="L299" s="13"/>
      <c r="M299" s="13"/>
    </row>
    <row r="300">
      <c r="E300" s="13"/>
      <c r="F300" s="13"/>
      <c r="G300" s="13"/>
      <c r="H300" s="13"/>
      <c r="I300" s="13"/>
      <c r="J300" s="13"/>
      <c r="K300" s="13"/>
      <c r="L300" s="13"/>
      <c r="M300" s="13"/>
    </row>
    <row r="301">
      <c r="E301" s="13"/>
      <c r="F301" s="13"/>
      <c r="G301" s="13"/>
      <c r="H301" s="13"/>
      <c r="I301" s="13"/>
      <c r="J301" s="13"/>
      <c r="K301" s="13"/>
      <c r="L301" s="13"/>
      <c r="M301" s="13"/>
    </row>
    <row r="302">
      <c r="E302" s="13"/>
      <c r="F302" s="13"/>
      <c r="G302" s="13"/>
      <c r="H302" s="13"/>
      <c r="I302" s="13"/>
      <c r="J302" s="13"/>
      <c r="K302" s="13"/>
      <c r="L302" s="13"/>
      <c r="M302" s="13"/>
    </row>
    <row r="303">
      <c r="E303" s="13"/>
      <c r="F303" s="13"/>
      <c r="G303" s="13"/>
      <c r="H303" s="13"/>
      <c r="I303" s="13"/>
      <c r="J303" s="13"/>
      <c r="K303" s="13"/>
      <c r="L303" s="13"/>
      <c r="M303" s="13"/>
    </row>
    <row r="304">
      <c r="E304" s="13"/>
      <c r="F304" s="13"/>
      <c r="G304" s="13"/>
      <c r="H304" s="13"/>
      <c r="I304" s="13"/>
      <c r="J304" s="13"/>
      <c r="K304" s="13"/>
      <c r="L304" s="13"/>
      <c r="M304" s="13"/>
    </row>
    <row r="305">
      <c r="E305" s="13"/>
      <c r="F305" s="13"/>
      <c r="G305" s="13"/>
      <c r="H305" s="13"/>
      <c r="I305" s="13"/>
      <c r="J305" s="13"/>
      <c r="K305" s="13"/>
      <c r="L305" s="13"/>
      <c r="M305" s="13"/>
    </row>
    <row r="306">
      <c r="E306" s="13"/>
      <c r="F306" s="13"/>
      <c r="G306" s="13"/>
      <c r="H306" s="13"/>
      <c r="I306" s="13"/>
      <c r="J306" s="13"/>
      <c r="K306" s="13"/>
      <c r="L306" s="13"/>
      <c r="M306" s="13"/>
    </row>
    <row r="307">
      <c r="E307" s="13"/>
      <c r="F307" s="13"/>
      <c r="G307" s="13"/>
      <c r="H307" s="13"/>
      <c r="I307" s="13"/>
      <c r="J307" s="13"/>
      <c r="K307" s="13"/>
      <c r="L307" s="13"/>
      <c r="M307" s="13"/>
    </row>
    <row r="308">
      <c r="E308" s="13"/>
      <c r="F308" s="13"/>
      <c r="G308" s="13"/>
      <c r="H308" s="13"/>
      <c r="I308" s="13"/>
      <c r="J308" s="13"/>
      <c r="K308" s="13"/>
      <c r="L308" s="13"/>
      <c r="M308" s="13"/>
    </row>
    <row r="309">
      <c r="E309" s="13"/>
      <c r="F309" s="13"/>
      <c r="G309" s="13"/>
      <c r="H309" s="13"/>
      <c r="I309" s="13"/>
      <c r="J309" s="13"/>
      <c r="K309" s="13"/>
      <c r="L309" s="13"/>
      <c r="M309" s="13"/>
    </row>
    <row r="310">
      <c r="E310" s="13"/>
      <c r="F310" s="13"/>
      <c r="G310" s="13"/>
      <c r="H310" s="13"/>
      <c r="I310" s="13"/>
      <c r="J310" s="13"/>
      <c r="K310" s="13"/>
      <c r="L310" s="13"/>
      <c r="M310" s="13"/>
    </row>
    <row r="311">
      <c r="E311" s="13"/>
      <c r="F311" s="13"/>
      <c r="G311" s="13"/>
      <c r="H311" s="13"/>
      <c r="I311" s="13"/>
      <c r="J311" s="13"/>
      <c r="K311" s="13"/>
      <c r="L311" s="13"/>
      <c r="M311" s="13"/>
    </row>
    <row r="312">
      <c r="E312" s="13"/>
      <c r="F312" s="13"/>
      <c r="G312" s="13"/>
      <c r="H312" s="13"/>
      <c r="I312" s="13"/>
      <c r="J312" s="13"/>
      <c r="K312" s="13"/>
      <c r="L312" s="13"/>
      <c r="M312" s="13"/>
    </row>
    <row r="313">
      <c r="E313" s="13"/>
      <c r="F313" s="13"/>
      <c r="G313" s="13"/>
      <c r="H313" s="13"/>
      <c r="I313" s="13"/>
      <c r="J313" s="13"/>
      <c r="K313" s="13"/>
      <c r="L313" s="13"/>
      <c r="M313" s="13"/>
    </row>
    <row r="314">
      <c r="E314" s="13"/>
      <c r="F314" s="13"/>
      <c r="G314" s="13"/>
      <c r="H314" s="13"/>
      <c r="I314" s="13"/>
      <c r="J314" s="13"/>
      <c r="K314" s="13"/>
      <c r="L314" s="13"/>
      <c r="M314" s="13"/>
    </row>
    <row r="315">
      <c r="E315" s="13"/>
      <c r="F315" s="13"/>
      <c r="G315" s="13"/>
      <c r="H315" s="13"/>
      <c r="I315" s="13"/>
      <c r="J315" s="13"/>
      <c r="K315" s="13"/>
      <c r="L315" s="13"/>
      <c r="M315" s="13"/>
    </row>
    <row r="316">
      <c r="E316" s="13"/>
      <c r="F316" s="13"/>
      <c r="G316" s="13"/>
      <c r="H316" s="13"/>
      <c r="I316" s="13"/>
      <c r="J316" s="13"/>
      <c r="K316" s="13"/>
      <c r="L316" s="13"/>
      <c r="M316" s="13"/>
    </row>
    <row r="317">
      <c r="E317" s="13"/>
      <c r="F317" s="13"/>
      <c r="G317" s="13"/>
      <c r="H317" s="13"/>
      <c r="I317" s="13"/>
      <c r="J317" s="13"/>
      <c r="K317" s="13"/>
      <c r="L317" s="13"/>
      <c r="M317" s="13"/>
    </row>
    <row r="318">
      <c r="E318" s="13"/>
      <c r="F318" s="13"/>
      <c r="G318" s="13"/>
      <c r="H318" s="13"/>
      <c r="I318" s="13"/>
      <c r="J318" s="13"/>
      <c r="K318" s="13"/>
      <c r="L318" s="13"/>
      <c r="M318" s="13"/>
    </row>
    <row r="319">
      <c r="E319" s="13"/>
      <c r="F319" s="13"/>
      <c r="G319" s="13"/>
      <c r="H319" s="13"/>
      <c r="I319" s="13"/>
      <c r="J319" s="13"/>
      <c r="K319" s="13"/>
      <c r="L319" s="13"/>
      <c r="M319" s="13"/>
    </row>
    <row r="320">
      <c r="E320" s="13"/>
      <c r="F320" s="13"/>
      <c r="G320" s="13"/>
      <c r="H320" s="13"/>
      <c r="I320" s="13"/>
      <c r="J320" s="13"/>
      <c r="K320" s="13"/>
      <c r="L320" s="13"/>
      <c r="M320" s="13"/>
    </row>
    <row r="321">
      <c r="E321" s="13"/>
      <c r="F321" s="13"/>
      <c r="G321" s="13"/>
      <c r="H321" s="13"/>
      <c r="I321" s="13"/>
      <c r="J321" s="13"/>
      <c r="K321" s="13"/>
      <c r="L321" s="13"/>
      <c r="M321" s="13"/>
    </row>
    <row r="322">
      <c r="E322" s="13"/>
      <c r="F322" s="13"/>
      <c r="G322" s="13"/>
      <c r="H322" s="13"/>
      <c r="I322" s="13"/>
      <c r="J322" s="13"/>
      <c r="K322" s="13"/>
      <c r="L322" s="13"/>
      <c r="M322" s="13"/>
    </row>
    <row r="323">
      <c r="E323" s="13"/>
      <c r="F323" s="13"/>
      <c r="G323" s="13"/>
      <c r="H323" s="13"/>
      <c r="I323" s="13"/>
      <c r="J323" s="13"/>
      <c r="K323" s="13"/>
      <c r="L323" s="13"/>
      <c r="M323" s="13"/>
    </row>
    <row r="324">
      <c r="E324" s="13"/>
      <c r="F324" s="13"/>
      <c r="G324" s="13"/>
      <c r="H324" s="13"/>
      <c r="I324" s="13"/>
      <c r="J324" s="13"/>
      <c r="K324" s="13"/>
      <c r="L324" s="13"/>
      <c r="M324" s="13"/>
    </row>
    <row r="325">
      <c r="E325" s="13"/>
      <c r="F325" s="13"/>
      <c r="G325" s="13"/>
      <c r="H325" s="13"/>
      <c r="I325" s="13"/>
      <c r="J325" s="13"/>
      <c r="K325" s="13"/>
      <c r="L325" s="13"/>
      <c r="M325" s="13"/>
    </row>
    <row r="326">
      <c r="E326" s="13"/>
      <c r="F326" s="13"/>
      <c r="G326" s="13"/>
      <c r="H326" s="13"/>
      <c r="I326" s="13"/>
      <c r="J326" s="13"/>
      <c r="K326" s="13"/>
      <c r="L326" s="13"/>
      <c r="M326" s="13"/>
    </row>
    <row r="327">
      <c r="E327" s="13"/>
      <c r="F327" s="13"/>
      <c r="G327" s="13"/>
      <c r="H327" s="13"/>
      <c r="I327" s="13"/>
      <c r="J327" s="13"/>
      <c r="K327" s="13"/>
      <c r="L327" s="13"/>
      <c r="M327" s="13"/>
    </row>
    <row r="328">
      <c r="E328" s="13"/>
      <c r="F328" s="13"/>
      <c r="G328" s="13"/>
      <c r="H328" s="13"/>
      <c r="I328" s="13"/>
      <c r="J328" s="13"/>
      <c r="K328" s="13"/>
      <c r="L328" s="13"/>
      <c r="M328" s="13"/>
    </row>
    <row r="329">
      <c r="E329" s="13"/>
      <c r="F329" s="13"/>
      <c r="G329" s="13"/>
      <c r="H329" s="13"/>
      <c r="I329" s="13"/>
      <c r="J329" s="13"/>
      <c r="K329" s="13"/>
      <c r="L329" s="13"/>
      <c r="M329" s="13"/>
    </row>
    <row r="330">
      <c r="E330" s="13"/>
      <c r="F330" s="13"/>
      <c r="G330" s="13"/>
      <c r="H330" s="13"/>
      <c r="I330" s="13"/>
      <c r="J330" s="13"/>
      <c r="K330" s="13"/>
      <c r="L330" s="13"/>
      <c r="M330" s="13"/>
    </row>
    <row r="331">
      <c r="E331" s="13"/>
      <c r="F331" s="13"/>
      <c r="G331" s="13"/>
      <c r="H331" s="13"/>
      <c r="I331" s="13"/>
      <c r="J331" s="13"/>
      <c r="K331" s="13"/>
      <c r="L331" s="13"/>
      <c r="M331" s="13"/>
    </row>
    <row r="332">
      <c r="E332" s="13"/>
      <c r="F332" s="13"/>
      <c r="G332" s="13"/>
      <c r="H332" s="13"/>
      <c r="I332" s="13"/>
      <c r="J332" s="13"/>
      <c r="K332" s="13"/>
      <c r="L332" s="13"/>
      <c r="M332" s="13"/>
    </row>
    <row r="333">
      <c r="E333" s="13"/>
      <c r="F333" s="13"/>
      <c r="G333" s="13"/>
      <c r="H333" s="13"/>
      <c r="I333" s="13"/>
      <c r="J333" s="13"/>
      <c r="K333" s="13"/>
      <c r="L333" s="13"/>
      <c r="M333" s="13"/>
    </row>
    <row r="334">
      <c r="E334" s="13"/>
      <c r="F334" s="13"/>
      <c r="G334" s="13"/>
      <c r="H334" s="13"/>
      <c r="I334" s="13"/>
      <c r="J334" s="13"/>
      <c r="K334" s="13"/>
      <c r="L334" s="13"/>
      <c r="M334" s="13"/>
    </row>
    <row r="335">
      <c r="E335" s="13"/>
      <c r="F335" s="13"/>
      <c r="G335" s="13"/>
      <c r="H335" s="13"/>
      <c r="I335" s="13"/>
      <c r="J335" s="13"/>
      <c r="K335" s="13"/>
      <c r="L335" s="13"/>
      <c r="M335" s="13"/>
    </row>
    <row r="336">
      <c r="E336" s="13"/>
      <c r="F336" s="13"/>
      <c r="G336" s="13"/>
      <c r="H336" s="13"/>
      <c r="I336" s="13"/>
      <c r="J336" s="13"/>
      <c r="K336" s="13"/>
      <c r="L336" s="13"/>
      <c r="M336" s="13"/>
    </row>
    <row r="337">
      <c r="E337" s="13"/>
      <c r="F337" s="13"/>
      <c r="G337" s="13"/>
      <c r="H337" s="13"/>
      <c r="I337" s="13"/>
      <c r="J337" s="13"/>
      <c r="K337" s="13"/>
      <c r="L337" s="13"/>
      <c r="M337" s="13"/>
    </row>
    <row r="338">
      <c r="E338" s="13"/>
      <c r="F338" s="13"/>
      <c r="G338" s="13"/>
      <c r="H338" s="13"/>
      <c r="I338" s="13"/>
      <c r="J338" s="13"/>
      <c r="K338" s="13"/>
      <c r="L338" s="13"/>
      <c r="M338" s="13"/>
    </row>
    <row r="339">
      <c r="E339" s="13"/>
      <c r="F339" s="13"/>
      <c r="G339" s="13"/>
      <c r="H339" s="13"/>
      <c r="I339" s="13"/>
      <c r="J339" s="13"/>
      <c r="K339" s="13"/>
      <c r="L339" s="13"/>
      <c r="M339" s="13"/>
    </row>
    <row r="340">
      <c r="E340" s="13"/>
      <c r="F340" s="13"/>
      <c r="G340" s="13"/>
      <c r="H340" s="13"/>
      <c r="I340" s="13"/>
      <c r="J340" s="13"/>
      <c r="K340" s="13"/>
      <c r="L340" s="13"/>
      <c r="M340" s="13"/>
    </row>
    <row r="341">
      <c r="E341" s="13"/>
      <c r="F341" s="13"/>
      <c r="G341" s="13"/>
      <c r="H341" s="13"/>
      <c r="I341" s="13"/>
      <c r="J341" s="13"/>
      <c r="K341" s="13"/>
      <c r="L341" s="13"/>
      <c r="M341" s="13"/>
    </row>
    <row r="342">
      <c r="E342" s="13"/>
      <c r="F342" s="13"/>
      <c r="G342" s="13"/>
      <c r="H342" s="13"/>
      <c r="I342" s="13"/>
      <c r="J342" s="13"/>
      <c r="K342" s="13"/>
      <c r="L342" s="13"/>
      <c r="M342" s="13"/>
    </row>
    <row r="343">
      <c r="E343" s="13"/>
      <c r="F343" s="13"/>
      <c r="G343" s="13"/>
      <c r="H343" s="13"/>
      <c r="I343" s="13"/>
      <c r="J343" s="13"/>
      <c r="K343" s="13"/>
      <c r="L343" s="13"/>
      <c r="M343" s="13"/>
    </row>
    <row r="344">
      <c r="E344" s="13"/>
      <c r="F344" s="13"/>
      <c r="G344" s="13"/>
      <c r="H344" s="13"/>
      <c r="I344" s="13"/>
      <c r="J344" s="13"/>
      <c r="K344" s="13"/>
      <c r="L344" s="13"/>
      <c r="M344" s="13"/>
    </row>
    <row r="345">
      <c r="E345" s="13"/>
      <c r="F345" s="13"/>
      <c r="G345" s="13"/>
      <c r="H345" s="13"/>
      <c r="I345" s="13"/>
      <c r="J345" s="13"/>
      <c r="K345" s="13"/>
      <c r="L345" s="13"/>
      <c r="M345" s="13"/>
    </row>
    <row r="346">
      <c r="E346" s="13"/>
      <c r="F346" s="13"/>
      <c r="G346" s="13"/>
      <c r="H346" s="13"/>
      <c r="I346" s="13"/>
      <c r="J346" s="13"/>
      <c r="K346" s="13"/>
      <c r="L346" s="13"/>
      <c r="M346" s="13"/>
    </row>
    <row r="347">
      <c r="E347" s="13"/>
      <c r="F347" s="13"/>
      <c r="G347" s="13"/>
      <c r="H347" s="13"/>
      <c r="I347" s="13"/>
      <c r="J347" s="13"/>
      <c r="K347" s="13"/>
      <c r="L347" s="13"/>
      <c r="M347" s="13"/>
    </row>
    <row r="348">
      <c r="E348" s="13"/>
      <c r="F348" s="13"/>
      <c r="G348" s="13"/>
      <c r="H348" s="13"/>
      <c r="I348" s="13"/>
      <c r="J348" s="13"/>
      <c r="K348" s="13"/>
      <c r="L348" s="13"/>
      <c r="M348" s="13"/>
    </row>
    <row r="349">
      <c r="E349" s="13"/>
      <c r="F349" s="13"/>
      <c r="G349" s="13"/>
      <c r="H349" s="13"/>
      <c r="I349" s="13"/>
      <c r="J349" s="13"/>
      <c r="K349" s="13"/>
      <c r="L349" s="13"/>
      <c r="M349" s="13"/>
    </row>
    <row r="350">
      <c r="E350" s="13"/>
      <c r="F350" s="13"/>
      <c r="G350" s="13"/>
      <c r="H350" s="13"/>
      <c r="I350" s="13"/>
      <c r="J350" s="13"/>
      <c r="K350" s="13"/>
      <c r="L350" s="13"/>
      <c r="M350" s="13"/>
    </row>
    <row r="351">
      <c r="E351" s="13"/>
      <c r="F351" s="13"/>
      <c r="G351" s="13"/>
      <c r="H351" s="13"/>
      <c r="I351" s="13"/>
      <c r="J351" s="13"/>
      <c r="K351" s="13"/>
      <c r="L351" s="13"/>
      <c r="M351" s="13"/>
    </row>
    <row r="352">
      <c r="E352" s="13"/>
      <c r="F352" s="13"/>
      <c r="G352" s="13"/>
      <c r="H352" s="13"/>
      <c r="I352" s="13"/>
      <c r="J352" s="13"/>
      <c r="K352" s="13"/>
      <c r="L352" s="13"/>
      <c r="M352" s="13"/>
    </row>
    <row r="353">
      <c r="E353" s="13"/>
      <c r="F353" s="13"/>
      <c r="G353" s="13"/>
      <c r="H353" s="13"/>
      <c r="I353" s="13"/>
      <c r="J353" s="13"/>
      <c r="K353" s="13"/>
      <c r="L353" s="13"/>
      <c r="M353" s="13"/>
    </row>
    <row r="354">
      <c r="E354" s="13"/>
      <c r="F354" s="13"/>
      <c r="G354" s="13"/>
      <c r="H354" s="13"/>
      <c r="I354" s="13"/>
      <c r="J354" s="13"/>
      <c r="K354" s="13"/>
      <c r="L354" s="13"/>
      <c r="M354" s="13"/>
    </row>
    <row r="355">
      <c r="E355" s="13"/>
      <c r="F355" s="13"/>
      <c r="G355" s="13"/>
      <c r="H355" s="13"/>
      <c r="I355" s="13"/>
      <c r="J355" s="13"/>
      <c r="K355" s="13"/>
      <c r="L355" s="13"/>
      <c r="M355" s="13"/>
    </row>
    <row r="356">
      <c r="E356" s="13"/>
      <c r="F356" s="13"/>
      <c r="G356" s="13"/>
      <c r="H356" s="13"/>
      <c r="I356" s="13"/>
      <c r="J356" s="13"/>
      <c r="K356" s="13"/>
      <c r="L356" s="13"/>
      <c r="M356" s="13"/>
    </row>
    <row r="357">
      <c r="E357" s="13"/>
      <c r="F357" s="13"/>
      <c r="G357" s="13"/>
      <c r="H357" s="13"/>
      <c r="I357" s="13"/>
      <c r="J357" s="13"/>
      <c r="K357" s="13"/>
      <c r="L357" s="13"/>
      <c r="M357" s="13"/>
    </row>
    <row r="358">
      <c r="E358" s="13"/>
      <c r="F358" s="13"/>
      <c r="G358" s="13"/>
      <c r="H358" s="13"/>
      <c r="I358" s="13"/>
      <c r="J358" s="13"/>
      <c r="K358" s="13"/>
      <c r="L358" s="13"/>
      <c r="M358" s="13"/>
    </row>
    <row r="359">
      <c r="E359" s="13"/>
      <c r="F359" s="13"/>
      <c r="G359" s="13"/>
      <c r="H359" s="13"/>
      <c r="I359" s="13"/>
      <c r="J359" s="13"/>
      <c r="K359" s="13"/>
      <c r="L359" s="13"/>
      <c r="M359" s="13"/>
    </row>
    <row r="360">
      <c r="E360" s="13"/>
      <c r="F360" s="13"/>
      <c r="G360" s="13"/>
      <c r="H360" s="13"/>
      <c r="I360" s="13"/>
      <c r="J360" s="13"/>
      <c r="K360" s="13"/>
      <c r="L360" s="13"/>
      <c r="M360" s="13"/>
    </row>
    <row r="361">
      <c r="E361" s="13"/>
      <c r="F361" s="13"/>
      <c r="G361" s="13"/>
      <c r="H361" s="13"/>
      <c r="I361" s="13"/>
      <c r="J361" s="13"/>
      <c r="K361" s="13"/>
      <c r="L361" s="13"/>
      <c r="M361" s="13"/>
    </row>
    <row r="362">
      <c r="E362" s="13"/>
      <c r="F362" s="13"/>
      <c r="G362" s="13"/>
      <c r="H362" s="13"/>
      <c r="I362" s="13"/>
      <c r="J362" s="13"/>
      <c r="K362" s="13"/>
      <c r="L362" s="13"/>
      <c r="M362" s="13"/>
    </row>
    <row r="363">
      <c r="E363" s="13"/>
      <c r="F363" s="13"/>
      <c r="G363" s="13"/>
      <c r="H363" s="13"/>
      <c r="I363" s="13"/>
      <c r="J363" s="13"/>
      <c r="K363" s="13"/>
      <c r="L363" s="13"/>
      <c r="M363" s="13"/>
    </row>
    <row r="364">
      <c r="E364" s="13"/>
      <c r="F364" s="13"/>
      <c r="G364" s="13"/>
      <c r="H364" s="13"/>
      <c r="I364" s="13"/>
      <c r="J364" s="13"/>
      <c r="K364" s="13"/>
      <c r="L364" s="13"/>
      <c r="M364" s="13"/>
    </row>
    <row r="365">
      <c r="E365" s="13"/>
      <c r="F365" s="13"/>
      <c r="G365" s="13"/>
      <c r="H365" s="13"/>
      <c r="I365" s="13"/>
      <c r="J365" s="13"/>
      <c r="K365" s="13"/>
      <c r="L365" s="13"/>
      <c r="M365" s="13"/>
    </row>
    <row r="366">
      <c r="E366" s="13"/>
      <c r="F366" s="13"/>
      <c r="G366" s="13"/>
      <c r="H366" s="13"/>
      <c r="I366" s="13"/>
      <c r="J366" s="13"/>
      <c r="K366" s="13"/>
      <c r="L366" s="13"/>
      <c r="M366" s="13"/>
    </row>
    <row r="367">
      <c r="E367" s="13"/>
      <c r="F367" s="13"/>
      <c r="G367" s="13"/>
      <c r="H367" s="13"/>
      <c r="I367" s="13"/>
      <c r="J367" s="13"/>
      <c r="K367" s="13"/>
      <c r="L367" s="13"/>
      <c r="M367" s="13"/>
    </row>
    <row r="368">
      <c r="E368" s="13"/>
      <c r="F368" s="13"/>
      <c r="G368" s="13"/>
      <c r="H368" s="13"/>
      <c r="I368" s="13"/>
      <c r="J368" s="13"/>
      <c r="K368" s="13"/>
      <c r="L368" s="13"/>
      <c r="M368" s="13"/>
    </row>
    <row r="369">
      <c r="E369" s="13"/>
      <c r="F369" s="13"/>
      <c r="G369" s="13"/>
      <c r="H369" s="13"/>
      <c r="I369" s="13"/>
      <c r="J369" s="13"/>
      <c r="K369" s="13"/>
      <c r="L369" s="13"/>
      <c r="M369" s="13"/>
    </row>
    <row r="370">
      <c r="E370" s="13"/>
      <c r="F370" s="13"/>
      <c r="G370" s="13"/>
      <c r="H370" s="13"/>
      <c r="I370" s="13"/>
      <c r="J370" s="13"/>
      <c r="K370" s="13"/>
      <c r="L370" s="13"/>
      <c r="M370" s="13"/>
    </row>
    <row r="371">
      <c r="E371" s="13"/>
      <c r="F371" s="13"/>
      <c r="G371" s="13"/>
      <c r="H371" s="13"/>
      <c r="I371" s="13"/>
      <c r="J371" s="13"/>
      <c r="K371" s="13"/>
      <c r="L371" s="13"/>
      <c r="M371" s="13"/>
    </row>
    <row r="372">
      <c r="E372" s="13"/>
      <c r="F372" s="13"/>
      <c r="G372" s="13"/>
      <c r="H372" s="13"/>
      <c r="I372" s="13"/>
      <c r="J372" s="13"/>
      <c r="K372" s="13"/>
      <c r="L372" s="13"/>
      <c r="M372" s="13"/>
    </row>
    <row r="373">
      <c r="E373" s="13"/>
      <c r="F373" s="13"/>
      <c r="G373" s="13"/>
      <c r="H373" s="13"/>
      <c r="I373" s="13"/>
      <c r="J373" s="13"/>
      <c r="K373" s="13"/>
      <c r="L373" s="13"/>
      <c r="M373" s="13"/>
    </row>
    <row r="374">
      <c r="E374" s="13"/>
      <c r="F374" s="13"/>
      <c r="G374" s="13"/>
      <c r="H374" s="13"/>
      <c r="I374" s="13"/>
      <c r="J374" s="13"/>
      <c r="K374" s="13"/>
      <c r="L374" s="13"/>
      <c r="M374" s="13"/>
    </row>
    <row r="375">
      <c r="E375" s="13"/>
      <c r="F375" s="13"/>
      <c r="G375" s="13"/>
      <c r="H375" s="13"/>
      <c r="I375" s="13"/>
      <c r="J375" s="13"/>
      <c r="K375" s="13"/>
      <c r="L375" s="13"/>
      <c r="M375" s="13"/>
    </row>
    <row r="376">
      <c r="E376" s="13"/>
      <c r="F376" s="13"/>
      <c r="G376" s="13"/>
      <c r="H376" s="13"/>
      <c r="I376" s="13"/>
      <c r="J376" s="13"/>
      <c r="K376" s="13"/>
      <c r="L376" s="13"/>
      <c r="M376" s="13"/>
    </row>
    <row r="377">
      <c r="E377" s="13"/>
      <c r="F377" s="13"/>
      <c r="G377" s="13"/>
      <c r="H377" s="13"/>
      <c r="I377" s="13"/>
      <c r="J377" s="13"/>
      <c r="K377" s="13"/>
      <c r="L377" s="13"/>
      <c r="M377" s="13"/>
    </row>
    <row r="378">
      <c r="E378" s="13"/>
      <c r="F378" s="13"/>
      <c r="G378" s="13"/>
      <c r="H378" s="13"/>
      <c r="I378" s="13"/>
      <c r="J378" s="13"/>
      <c r="K378" s="13"/>
      <c r="L378" s="13"/>
      <c r="M378" s="13"/>
    </row>
    <row r="379">
      <c r="E379" s="13"/>
      <c r="F379" s="13"/>
      <c r="G379" s="13"/>
      <c r="H379" s="13"/>
      <c r="I379" s="13"/>
      <c r="J379" s="13"/>
      <c r="K379" s="13"/>
      <c r="L379" s="13"/>
      <c r="M379" s="13"/>
    </row>
    <row r="380">
      <c r="E380" s="13"/>
      <c r="F380" s="13"/>
      <c r="G380" s="13"/>
      <c r="H380" s="13"/>
      <c r="I380" s="13"/>
      <c r="J380" s="13"/>
      <c r="K380" s="13"/>
      <c r="L380" s="13"/>
      <c r="M380" s="13"/>
    </row>
    <row r="381">
      <c r="E381" s="13"/>
      <c r="F381" s="13"/>
      <c r="G381" s="13"/>
      <c r="H381" s="13"/>
      <c r="I381" s="13"/>
      <c r="J381" s="13"/>
      <c r="K381" s="13"/>
      <c r="L381" s="13"/>
      <c r="M381" s="13"/>
    </row>
    <row r="382">
      <c r="E382" s="13"/>
      <c r="F382" s="13"/>
      <c r="G382" s="13"/>
      <c r="H382" s="13"/>
      <c r="I382" s="13"/>
      <c r="J382" s="13"/>
      <c r="K382" s="13"/>
      <c r="L382" s="13"/>
      <c r="M382" s="13"/>
    </row>
    <row r="383">
      <c r="E383" s="13"/>
      <c r="F383" s="13"/>
      <c r="G383" s="13"/>
      <c r="H383" s="13"/>
      <c r="I383" s="13"/>
      <c r="J383" s="13"/>
      <c r="K383" s="13"/>
      <c r="L383" s="13"/>
      <c r="M383" s="13"/>
    </row>
    <row r="384">
      <c r="E384" s="13"/>
      <c r="F384" s="13"/>
      <c r="G384" s="13"/>
      <c r="H384" s="13"/>
      <c r="I384" s="13"/>
      <c r="J384" s="13"/>
      <c r="K384" s="13"/>
      <c r="L384" s="13"/>
      <c r="M384" s="13"/>
    </row>
    <row r="385">
      <c r="E385" s="13"/>
      <c r="F385" s="13"/>
      <c r="G385" s="13"/>
      <c r="H385" s="13"/>
      <c r="I385" s="13"/>
      <c r="J385" s="13"/>
      <c r="K385" s="13"/>
      <c r="L385" s="13"/>
      <c r="M385" s="13"/>
    </row>
    <row r="386">
      <c r="E386" s="13"/>
      <c r="F386" s="13"/>
      <c r="G386" s="13"/>
      <c r="H386" s="13"/>
      <c r="I386" s="13"/>
      <c r="J386" s="13"/>
      <c r="K386" s="13"/>
      <c r="L386" s="13"/>
      <c r="M386" s="13"/>
    </row>
    <row r="387">
      <c r="E387" s="13"/>
      <c r="F387" s="13"/>
      <c r="G387" s="13"/>
      <c r="H387" s="13"/>
      <c r="I387" s="13"/>
      <c r="J387" s="13"/>
      <c r="K387" s="13"/>
      <c r="L387" s="13"/>
      <c r="M387" s="13"/>
    </row>
    <row r="388">
      <c r="E388" s="13"/>
      <c r="F388" s="13"/>
      <c r="G388" s="13"/>
      <c r="H388" s="13"/>
      <c r="I388" s="13"/>
      <c r="J388" s="13"/>
      <c r="K388" s="13"/>
      <c r="L388" s="13"/>
      <c r="M388" s="13"/>
    </row>
    <row r="389">
      <c r="E389" s="13"/>
      <c r="F389" s="13"/>
      <c r="G389" s="13"/>
      <c r="H389" s="13"/>
      <c r="I389" s="13"/>
      <c r="J389" s="13"/>
      <c r="K389" s="13"/>
      <c r="L389" s="13"/>
      <c r="M389" s="13"/>
    </row>
    <row r="390">
      <c r="E390" s="13"/>
      <c r="F390" s="13"/>
      <c r="G390" s="13"/>
      <c r="H390" s="13"/>
      <c r="I390" s="13"/>
      <c r="J390" s="13"/>
      <c r="K390" s="13"/>
      <c r="L390" s="13"/>
      <c r="M390" s="13"/>
    </row>
    <row r="391">
      <c r="E391" s="13"/>
      <c r="F391" s="13"/>
      <c r="G391" s="13"/>
      <c r="H391" s="13"/>
      <c r="I391" s="13"/>
      <c r="J391" s="13"/>
      <c r="K391" s="13"/>
      <c r="L391" s="13"/>
      <c r="M391" s="13"/>
    </row>
    <row r="392">
      <c r="E392" s="13"/>
      <c r="F392" s="13"/>
      <c r="G392" s="13"/>
      <c r="H392" s="13"/>
      <c r="I392" s="13"/>
      <c r="J392" s="13"/>
      <c r="K392" s="13"/>
      <c r="L392" s="13"/>
      <c r="M392" s="13"/>
    </row>
    <row r="393">
      <c r="E393" s="13"/>
      <c r="F393" s="13"/>
      <c r="G393" s="13"/>
      <c r="H393" s="13"/>
      <c r="I393" s="13"/>
      <c r="J393" s="13"/>
      <c r="K393" s="13"/>
      <c r="L393" s="13"/>
      <c r="M393" s="13"/>
    </row>
    <row r="394">
      <c r="E394" s="13"/>
      <c r="F394" s="13"/>
      <c r="G394" s="13"/>
      <c r="H394" s="13"/>
      <c r="I394" s="13"/>
      <c r="J394" s="13"/>
      <c r="K394" s="13"/>
      <c r="L394" s="13"/>
      <c r="M394" s="13"/>
    </row>
    <row r="395">
      <c r="E395" s="13"/>
      <c r="F395" s="13"/>
      <c r="G395" s="13"/>
      <c r="H395" s="13"/>
      <c r="I395" s="13"/>
      <c r="J395" s="13"/>
      <c r="K395" s="13"/>
      <c r="L395" s="13"/>
      <c r="M395" s="13"/>
    </row>
    <row r="396">
      <c r="E396" s="13"/>
      <c r="F396" s="13"/>
      <c r="G396" s="13"/>
      <c r="H396" s="13"/>
      <c r="I396" s="13"/>
      <c r="J396" s="13"/>
      <c r="K396" s="13"/>
      <c r="L396" s="13"/>
      <c r="M396" s="13"/>
    </row>
    <row r="397">
      <c r="E397" s="13"/>
      <c r="F397" s="13"/>
      <c r="G397" s="13"/>
      <c r="H397" s="13"/>
      <c r="I397" s="13"/>
      <c r="J397" s="13"/>
      <c r="K397" s="13"/>
      <c r="L397" s="13"/>
      <c r="M397" s="13"/>
    </row>
    <row r="398">
      <c r="E398" s="13"/>
      <c r="F398" s="13"/>
      <c r="G398" s="13"/>
      <c r="H398" s="13"/>
      <c r="I398" s="13"/>
      <c r="J398" s="13"/>
      <c r="K398" s="13"/>
      <c r="L398" s="13"/>
      <c r="M398" s="13"/>
    </row>
    <row r="399">
      <c r="E399" s="13"/>
      <c r="F399" s="13"/>
      <c r="G399" s="13"/>
      <c r="H399" s="13"/>
      <c r="I399" s="13"/>
      <c r="J399" s="13"/>
      <c r="K399" s="13"/>
      <c r="L399" s="13"/>
      <c r="M399" s="13"/>
    </row>
    <row r="400">
      <c r="E400" s="13"/>
      <c r="F400" s="13"/>
      <c r="G400" s="13"/>
      <c r="H400" s="13"/>
      <c r="I400" s="13"/>
      <c r="J400" s="13"/>
      <c r="K400" s="13"/>
      <c r="L400" s="13"/>
      <c r="M400" s="13"/>
    </row>
    <row r="401">
      <c r="E401" s="13"/>
      <c r="F401" s="13"/>
      <c r="G401" s="13"/>
      <c r="H401" s="13"/>
      <c r="I401" s="13"/>
      <c r="J401" s="13"/>
      <c r="K401" s="13"/>
      <c r="L401" s="13"/>
      <c r="M401" s="13"/>
    </row>
    <row r="402">
      <c r="E402" s="13"/>
      <c r="F402" s="13"/>
      <c r="G402" s="13"/>
      <c r="H402" s="13"/>
      <c r="I402" s="13"/>
      <c r="J402" s="13"/>
      <c r="K402" s="13"/>
      <c r="L402" s="13"/>
      <c r="M402" s="13"/>
    </row>
    <row r="403">
      <c r="E403" s="13"/>
      <c r="F403" s="13"/>
      <c r="G403" s="13"/>
      <c r="H403" s="13"/>
      <c r="I403" s="13"/>
      <c r="J403" s="13"/>
      <c r="K403" s="13"/>
      <c r="L403" s="13"/>
      <c r="M403" s="13"/>
    </row>
    <row r="404">
      <c r="E404" s="13"/>
      <c r="F404" s="13"/>
      <c r="G404" s="13"/>
      <c r="H404" s="13"/>
      <c r="I404" s="13"/>
      <c r="J404" s="13"/>
      <c r="K404" s="13"/>
      <c r="L404" s="13"/>
      <c r="M404" s="13"/>
    </row>
    <row r="405">
      <c r="E405" s="13"/>
      <c r="F405" s="13"/>
      <c r="G405" s="13"/>
      <c r="H405" s="13"/>
      <c r="I405" s="13"/>
      <c r="J405" s="13"/>
      <c r="K405" s="13"/>
      <c r="L405" s="13"/>
      <c r="M405" s="13"/>
    </row>
    <row r="406">
      <c r="E406" s="13"/>
      <c r="F406" s="13"/>
      <c r="G406" s="13"/>
      <c r="H406" s="13"/>
      <c r="I406" s="13"/>
      <c r="J406" s="13"/>
      <c r="K406" s="13"/>
      <c r="L406" s="13"/>
      <c r="M406" s="13"/>
    </row>
    <row r="407">
      <c r="E407" s="13"/>
      <c r="F407" s="13"/>
      <c r="G407" s="13"/>
      <c r="H407" s="13"/>
      <c r="I407" s="13"/>
      <c r="J407" s="13"/>
      <c r="K407" s="13"/>
      <c r="L407" s="13"/>
      <c r="M407" s="13"/>
    </row>
    <row r="408">
      <c r="E408" s="13"/>
      <c r="F408" s="13"/>
      <c r="G408" s="13"/>
      <c r="H408" s="13"/>
      <c r="I408" s="13"/>
      <c r="J408" s="13"/>
      <c r="K408" s="13"/>
      <c r="L408" s="13"/>
      <c r="M408" s="13"/>
    </row>
    <row r="409">
      <c r="E409" s="13"/>
      <c r="F409" s="13"/>
      <c r="G409" s="13"/>
      <c r="H409" s="13"/>
      <c r="I409" s="13"/>
      <c r="J409" s="13"/>
      <c r="K409" s="13"/>
      <c r="L409" s="13"/>
      <c r="M409" s="13"/>
    </row>
    <row r="410">
      <c r="E410" s="13"/>
      <c r="F410" s="13"/>
      <c r="G410" s="13"/>
      <c r="H410" s="13"/>
      <c r="I410" s="13"/>
      <c r="J410" s="13"/>
      <c r="K410" s="13"/>
      <c r="L410" s="13"/>
      <c r="M410" s="13"/>
    </row>
    <row r="411">
      <c r="E411" s="13"/>
      <c r="F411" s="13"/>
      <c r="G411" s="13"/>
      <c r="H411" s="13"/>
      <c r="I411" s="13"/>
      <c r="J411" s="13"/>
      <c r="K411" s="13"/>
      <c r="L411" s="13"/>
      <c r="M411" s="13"/>
    </row>
    <row r="412">
      <c r="E412" s="13"/>
      <c r="F412" s="13"/>
      <c r="G412" s="13"/>
      <c r="H412" s="13"/>
      <c r="I412" s="13"/>
      <c r="J412" s="13"/>
      <c r="K412" s="13"/>
      <c r="L412" s="13"/>
      <c r="M412" s="13"/>
    </row>
    <row r="413">
      <c r="E413" s="13"/>
      <c r="F413" s="13"/>
      <c r="G413" s="13"/>
      <c r="H413" s="13"/>
      <c r="I413" s="13"/>
      <c r="J413" s="13"/>
      <c r="K413" s="13"/>
      <c r="L413" s="13"/>
      <c r="M413" s="13"/>
    </row>
    <row r="414">
      <c r="E414" s="13"/>
      <c r="F414" s="13"/>
      <c r="G414" s="13"/>
      <c r="H414" s="13"/>
      <c r="I414" s="13"/>
      <c r="J414" s="13"/>
      <c r="K414" s="13"/>
      <c r="L414" s="13"/>
      <c r="M414" s="13"/>
    </row>
    <row r="415">
      <c r="E415" s="13"/>
      <c r="F415" s="13"/>
      <c r="G415" s="13"/>
      <c r="H415" s="13"/>
      <c r="I415" s="13"/>
      <c r="J415" s="13"/>
      <c r="K415" s="13"/>
      <c r="L415" s="13"/>
      <c r="M415" s="13"/>
    </row>
    <row r="416">
      <c r="E416" s="13"/>
      <c r="F416" s="13"/>
      <c r="G416" s="13"/>
      <c r="H416" s="13"/>
      <c r="I416" s="13"/>
      <c r="J416" s="13"/>
      <c r="K416" s="13"/>
      <c r="L416" s="13"/>
      <c r="M416" s="13"/>
    </row>
    <row r="417">
      <c r="E417" s="13"/>
      <c r="F417" s="13"/>
      <c r="G417" s="13"/>
      <c r="H417" s="13"/>
      <c r="I417" s="13"/>
      <c r="J417" s="13"/>
      <c r="K417" s="13"/>
      <c r="L417" s="13"/>
      <c r="M417" s="13"/>
    </row>
    <row r="418">
      <c r="E418" s="13"/>
      <c r="F418" s="13"/>
      <c r="G418" s="13"/>
      <c r="H418" s="13"/>
      <c r="I418" s="13"/>
      <c r="J418" s="13"/>
      <c r="K418" s="13"/>
      <c r="L418" s="13"/>
      <c r="M418" s="13"/>
    </row>
    <row r="419">
      <c r="E419" s="13"/>
      <c r="F419" s="13"/>
      <c r="G419" s="13"/>
      <c r="H419" s="13"/>
      <c r="I419" s="13"/>
      <c r="J419" s="13"/>
      <c r="K419" s="13"/>
      <c r="L419" s="13"/>
      <c r="M419" s="13"/>
    </row>
    <row r="420">
      <c r="E420" s="13"/>
      <c r="F420" s="13"/>
      <c r="G420" s="13"/>
      <c r="H420" s="13"/>
      <c r="I420" s="13"/>
      <c r="J420" s="13"/>
      <c r="K420" s="13"/>
      <c r="L420" s="13"/>
      <c r="M420" s="13"/>
    </row>
    <row r="421">
      <c r="E421" s="13"/>
      <c r="F421" s="13"/>
      <c r="G421" s="13"/>
      <c r="H421" s="13"/>
      <c r="I421" s="13"/>
      <c r="J421" s="13"/>
      <c r="K421" s="13"/>
      <c r="L421" s="13"/>
      <c r="M421" s="13"/>
    </row>
    <row r="422">
      <c r="E422" s="13"/>
      <c r="F422" s="13"/>
      <c r="G422" s="13"/>
      <c r="H422" s="13"/>
      <c r="I422" s="13"/>
      <c r="J422" s="13"/>
      <c r="K422" s="13"/>
      <c r="L422" s="13"/>
      <c r="M422" s="13"/>
    </row>
    <row r="423">
      <c r="E423" s="13"/>
      <c r="F423" s="13"/>
      <c r="G423" s="13"/>
      <c r="H423" s="13"/>
      <c r="I423" s="13"/>
      <c r="J423" s="13"/>
      <c r="K423" s="13"/>
      <c r="L423" s="13"/>
      <c r="M423" s="13"/>
    </row>
    <row r="424">
      <c r="E424" s="13"/>
      <c r="F424" s="13"/>
      <c r="G424" s="13"/>
      <c r="H424" s="13"/>
      <c r="I424" s="13"/>
      <c r="J424" s="13"/>
      <c r="K424" s="13"/>
      <c r="L424" s="13"/>
      <c r="M424" s="13"/>
    </row>
    <row r="425">
      <c r="E425" s="13"/>
      <c r="F425" s="13"/>
      <c r="G425" s="13"/>
      <c r="H425" s="13"/>
      <c r="I425" s="13"/>
      <c r="J425" s="13"/>
      <c r="K425" s="13"/>
      <c r="L425" s="13"/>
      <c r="M425" s="13"/>
    </row>
    <row r="426">
      <c r="E426" s="13"/>
      <c r="F426" s="13"/>
      <c r="G426" s="13"/>
      <c r="H426" s="13"/>
      <c r="I426" s="13"/>
      <c r="J426" s="13"/>
      <c r="K426" s="13"/>
      <c r="L426" s="13"/>
      <c r="M426" s="13"/>
    </row>
    <row r="427">
      <c r="E427" s="13"/>
      <c r="F427" s="13"/>
      <c r="G427" s="13"/>
      <c r="H427" s="13"/>
      <c r="I427" s="13"/>
      <c r="J427" s="13"/>
      <c r="K427" s="13"/>
      <c r="L427" s="13"/>
      <c r="M427" s="13"/>
    </row>
    <row r="428">
      <c r="E428" s="13"/>
      <c r="F428" s="13"/>
      <c r="G428" s="13"/>
      <c r="H428" s="13"/>
      <c r="I428" s="13"/>
      <c r="J428" s="13"/>
      <c r="K428" s="13"/>
      <c r="L428" s="13"/>
      <c r="M428" s="13"/>
    </row>
    <row r="429">
      <c r="E429" s="13"/>
      <c r="F429" s="13"/>
      <c r="G429" s="13"/>
      <c r="H429" s="13"/>
      <c r="I429" s="13"/>
      <c r="J429" s="13"/>
      <c r="K429" s="13"/>
      <c r="L429" s="13"/>
      <c r="M429" s="13"/>
    </row>
    <row r="430">
      <c r="E430" s="13"/>
      <c r="F430" s="13"/>
      <c r="G430" s="13"/>
      <c r="H430" s="13"/>
      <c r="I430" s="13"/>
      <c r="J430" s="13"/>
      <c r="K430" s="13"/>
      <c r="L430" s="13"/>
      <c r="M430" s="13"/>
    </row>
    <row r="431">
      <c r="E431" s="13"/>
      <c r="F431" s="13"/>
      <c r="G431" s="13"/>
      <c r="H431" s="13"/>
      <c r="I431" s="13"/>
      <c r="J431" s="13"/>
      <c r="K431" s="13"/>
      <c r="L431" s="13"/>
      <c r="M431" s="13"/>
    </row>
    <row r="432">
      <c r="E432" s="13"/>
      <c r="F432" s="13"/>
      <c r="G432" s="13"/>
      <c r="H432" s="13"/>
      <c r="I432" s="13"/>
      <c r="J432" s="13"/>
      <c r="K432" s="13"/>
      <c r="L432" s="13"/>
      <c r="M432" s="13"/>
    </row>
    <row r="433">
      <c r="E433" s="13"/>
      <c r="F433" s="13"/>
      <c r="G433" s="13"/>
      <c r="H433" s="13"/>
      <c r="I433" s="13"/>
      <c r="J433" s="13"/>
      <c r="K433" s="13"/>
      <c r="L433" s="13"/>
      <c r="M433" s="13"/>
    </row>
    <row r="434">
      <c r="E434" s="13"/>
      <c r="F434" s="13"/>
      <c r="G434" s="13"/>
      <c r="H434" s="13"/>
      <c r="I434" s="13"/>
      <c r="J434" s="13"/>
      <c r="K434" s="13"/>
      <c r="L434" s="13"/>
      <c r="M434" s="13"/>
    </row>
    <row r="435">
      <c r="E435" s="13"/>
      <c r="F435" s="13"/>
      <c r="G435" s="13"/>
      <c r="H435" s="13"/>
      <c r="I435" s="13"/>
      <c r="J435" s="13"/>
      <c r="K435" s="13"/>
      <c r="L435" s="13"/>
      <c r="M435" s="13"/>
    </row>
    <row r="436">
      <c r="E436" s="13"/>
      <c r="F436" s="13"/>
      <c r="G436" s="13"/>
      <c r="H436" s="13"/>
      <c r="I436" s="13"/>
      <c r="J436" s="13"/>
      <c r="K436" s="13"/>
      <c r="L436" s="13"/>
      <c r="M436" s="13"/>
    </row>
    <row r="437">
      <c r="E437" s="13"/>
      <c r="F437" s="13"/>
      <c r="G437" s="13"/>
      <c r="H437" s="13"/>
      <c r="I437" s="13"/>
      <c r="J437" s="13"/>
      <c r="K437" s="13"/>
      <c r="L437" s="13"/>
      <c r="M437" s="13"/>
    </row>
    <row r="438">
      <c r="E438" s="13"/>
      <c r="F438" s="13"/>
      <c r="G438" s="13"/>
      <c r="H438" s="13"/>
      <c r="I438" s="13"/>
      <c r="J438" s="13"/>
      <c r="K438" s="13"/>
      <c r="L438" s="13"/>
      <c r="M438" s="13"/>
    </row>
    <row r="439">
      <c r="E439" s="13"/>
      <c r="F439" s="13"/>
      <c r="G439" s="13"/>
      <c r="H439" s="13"/>
      <c r="I439" s="13"/>
      <c r="J439" s="13"/>
      <c r="K439" s="13"/>
      <c r="L439" s="13"/>
      <c r="M439" s="13"/>
    </row>
    <row r="440">
      <c r="E440" s="13"/>
      <c r="F440" s="13"/>
      <c r="G440" s="13"/>
      <c r="H440" s="13"/>
      <c r="I440" s="13"/>
      <c r="J440" s="13"/>
      <c r="K440" s="13"/>
      <c r="L440" s="13"/>
      <c r="M440" s="13"/>
    </row>
    <row r="441">
      <c r="E441" s="13"/>
      <c r="F441" s="13"/>
      <c r="G441" s="13"/>
      <c r="H441" s="13"/>
      <c r="I441" s="13"/>
      <c r="J441" s="13"/>
      <c r="K441" s="13"/>
      <c r="L441" s="13"/>
      <c r="M441" s="13"/>
    </row>
    <row r="442">
      <c r="E442" s="13"/>
      <c r="F442" s="13"/>
      <c r="G442" s="13"/>
      <c r="H442" s="13"/>
      <c r="I442" s="13"/>
      <c r="J442" s="13"/>
      <c r="K442" s="13"/>
      <c r="L442" s="13"/>
      <c r="M442" s="13"/>
    </row>
    <row r="443">
      <c r="E443" s="13"/>
      <c r="F443" s="13"/>
      <c r="G443" s="13"/>
      <c r="H443" s="13"/>
      <c r="I443" s="13"/>
      <c r="J443" s="13"/>
      <c r="K443" s="13"/>
      <c r="L443" s="13"/>
      <c r="M443" s="13"/>
    </row>
    <row r="444">
      <c r="E444" s="13"/>
      <c r="F444" s="13"/>
      <c r="G444" s="13"/>
      <c r="H444" s="13"/>
      <c r="I444" s="13"/>
      <c r="J444" s="13"/>
      <c r="K444" s="13"/>
      <c r="L444" s="13"/>
      <c r="M444" s="13"/>
    </row>
    <row r="445">
      <c r="E445" s="13"/>
      <c r="F445" s="13"/>
      <c r="G445" s="13"/>
      <c r="H445" s="13"/>
      <c r="I445" s="13"/>
      <c r="J445" s="13"/>
      <c r="K445" s="13"/>
      <c r="L445" s="13"/>
      <c r="M445" s="13"/>
    </row>
    <row r="446">
      <c r="E446" s="13"/>
      <c r="F446" s="13"/>
      <c r="G446" s="13"/>
      <c r="H446" s="13"/>
      <c r="I446" s="13"/>
      <c r="J446" s="13"/>
      <c r="K446" s="13"/>
      <c r="L446" s="13"/>
      <c r="M446" s="13"/>
    </row>
    <row r="447">
      <c r="E447" s="13"/>
      <c r="F447" s="13"/>
      <c r="G447" s="13"/>
      <c r="H447" s="13"/>
      <c r="I447" s="13"/>
      <c r="J447" s="13"/>
      <c r="K447" s="13"/>
      <c r="L447" s="13"/>
      <c r="M447" s="13"/>
    </row>
    <row r="448">
      <c r="E448" s="13"/>
      <c r="F448" s="13"/>
      <c r="G448" s="13"/>
      <c r="H448" s="13"/>
      <c r="I448" s="13"/>
      <c r="J448" s="13"/>
      <c r="K448" s="13"/>
      <c r="L448" s="13"/>
      <c r="M448" s="13"/>
    </row>
    <row r="449">
      <c r="E449" s="13"/>
      <c r="F449" s="13"/>
      <c r="G449" s="13"/>
      <c r="H449" s="13"/>
      <c r="I449" s="13"/>
      <c r="J449" s="13"/>
      <c r="K449" s="13"/>
      <c r="L449" s="13"/>
      <c r="M449" s="13"/>
    </row>
    <row r="450">
      <c r="E450" s="13"/>
      <c r="F450" s="13"/>
      <c r="G450" s="13"/>
      <c r="H450" s="13"/>
      <c r="I450" s="13"/>
      <c r="J450" s="13"/>
      <c r="K450" s="13"/>
      <c r="L450" s="13"/>
      <c r="M450" s="13"/>
    </row>
    <row r="451">
      <c r="E451" s="13"/>
      <c r="F451" s="13"/>
      <c r="G451" s="13"/>
      <c r="H451" s="13"/>
      <c r="I451" s="13"/>
      <c r="J451" s="13"/>
      <c r="K451" s="13"/>
      <c r="L451" s="13"/>
      <c r="M451" s="13"/>
    </row>
    <row r="452">
      <c r="E452" s="13"/>
      <c r="F452" s="13"/>
      <c r="G452" s="13"/>
      <c r="H452" s="13"/>
      <c r="I452" s="13"/>
      <c r="J452" s="13"/>
      <c r="K452" s="13"/>
      <c r="L452" s="13"/>
      <c r="M452" s="13"/>
    </row>
    <row r="453">
      <c r="E453" s="13"/>
      <c r="F453" s="13"/>
      <c r="G453" s="13"/>
      <c r="H453" s="13"/>
      <c r="I453" s="13"/>
      <c r="J453" s="13"/>
      <c r="K453" s="13"/>
      <c r="L453" s="13"/>
      <c r="M453" s="13"/>
    </row>
    <row r="454">
      <c r="E454" s="13"/>
      <c r="F454" s="13"/>
      <c r="G454" s="13"/>
      <c r="H454" s="13"/>
      <c r="I454" s="13"/>
      <c r="J454" s="13"/>
      <c r="K454" s="13"/>
      <c r="L454" s="13"/>
      <c r="M454" s="13"/>
    </row>
    <row r="455">
      <c r="E455" s="13"/>
      <c r="F455" s="13"/>
      <c r="G455" s="13"/>
      <c r="H455" s="13"/>
      <c r="I455" s="13"/>
      <c r="J455" s="13"/>
      <c r="K455" s="13"/>
      <c r="L455" s="13"/>
      <c r="M455" s="13"/>
    </row>
    <row r="456">
      <c r="E456" s="13"/>
      <c r="F456" s="13"/>
      <c r="G456" s="13"/>
      <c r="H456" s="13"/>
      <c r="I456" s="13"/>
      <c r="J456" s="13"/>
      <c r="K456" s="13"/>
      <c r="L456" s="13"/>
      <c r="M456" s="13"/>
    </row>
    <row r="457">
      <c r="E457" s="13"/>
      <c r="F457" s="13"/>
      <c r="G457" s="13"/>
      <c r="H457" s="13"/>
      <c r="I457" s="13"/>
      <c r="J457" s="13"/>
      <c r="K457" s="13"/>
      <c r="L457" s="13"/>
      <c r="M457" s="13"/>
    </row>
    <row r="458">
      <c r="E458" s="13"/>
      <c r="F458" s="13"/>
      <c r="G458" s="13"/>
      <c r="H458" s="13"/>
      <c r="I458" s="13"/>
      <c r="J458" s="13"/>
      <c r="K458" s="13"/>
      <c r="L458" s="13"/>
      <c r="M458" s="13"/>
    </row>
    <row r="459">
      <c r="E459" s="13"/>
      <c r="F459" s="13"/>
      <c r="G459" s="13"/>
      <c r="H459" s="13"/>
      <c r="I459" s="13"/>
      <c r="J459" s="13"/>
      <c r="K459" s="13"/>
      <c r="L459" s="13"/>
      <c r="M459" s="13"/>
    </row>
    <row r="460">
      <c r="E460" s="13"/>
      <c r="F460" s="13"/>
      <c r="G460" s="13"/>
      <c r="H460" s="13"/>
      <c r="I460" s="13"/>
      <c r="J460" s="13"/>
      <c r="K460" s="13"/>
      <c r="L460" s="13"/>
      <c r="M460" s="13"/>
    </row>
    <row r="461">
      <c r="E461" s="13"/>
      <c r="F461" s="13"/>
      <c r="G461" s="13"/>
      <c r="H461" s="13"/>
      <c r="I461" s="13"/>
      <c r="J461" s="13"/>
      <c r="K461" s="13"/>
      <c r="L461" s="13"/>
      <c r="M461" s="13"/>
    </row>
    <row r="462">
      <c r="E462" s="13"/>
      <c r="F462" s="13"/>
      <c r="G462" s="13"/>
      <c r="H462" s="13"/>
      <c r="I462" s="13"/>
      <c r="J462" s="13"/>
      <c r="K462" s="13"/>
      <c r="L462" s="13"/>
      <c r="M462" s="13"/>
    </row>
    <row r="463">
      <c r="E463" s="13"/>
      <c r="F463" s="13"/>
      <c r="G463" s="13"/>
      <c r="H463" s="13"/>
      <c r="I463" s="13"/>
      <c r="J463" s="13"/>
      <c r="K463" s="13"/>
      <c r="L463" s="13"/>
      <c r="M463" s="13"/>
    </row>
    <row r="464">
      <c r="E464" s="13"/>
      <c r="F464" s="13"/>
      <c r="G464" s="13"/>
      <c r="H464" s="13"/>
      <c r="I464" s="13"/>
      <c r="J464" s="13"/>
      <c r="K464" s="13"/>
      <c r="L464" s="13"/>
      <c r="M464" s="13"/>
    </row>
    <row r="465">
      <c r="E465" s="13"/>
      <c r="F465" s="13"/>
      <c r="G465" s="13"/>
      <c r="H465" s="13"/>
      <c r="I465" s="13"/>
      <c r="J465" s="13"/>
      <c r="K465" s="13"/>
      <c r="L465" s="13"/>
      <c r="M465" s="13"/>
    </row>
    <row r="466">
      <c r="E466" s="13"/>
      <c r="F466" s="13"/>
      <c r="G466" s="13"/>
      <c r="H466" s="13"/>
      <c r="I466" s="13"/>
      <c r="J466" s="13"/>
      <c r="K466" s="13"/>
      <c r="L466" s="13"/>
      <c r="M466" s="13"/>
    </row>
    <row r="467">
      <c r="E467" s="13"/>
      <c r="F467" s="13"/>
      <c r="G467" s="13"/>
      <c r="H467" s="13"/>
      <c r="I467" s="13"/>
      <c r="J467" s="13"/>
      <c r="K467" s="13"/>
      <c r="L467" s="13"/>
      <c r="M467" s="13"/>
    </row>
    <row r="468">
      <c r="E468" s="13"/>
      <c r="F468" s="13"/>
      <c r="G468" s="13"/>
      <c r="H468" s="13"/>
      <c r="I468" s="13"/>
      <c r="J468" s="13"/>
      <c r="K468" s="13"/>
      <c r="L468" s="13"/>
      <c r="M468" s="13"/>
    </row>
    <row r="469">
      <c r="E469" s="13"/>
      <c r="F469" s="13"/>
      <c r="G469" s="13"/>
      <c r="H469" s="13"/>
      <c r="I469" s="13"/>
      <c r="J469" s="13"/>
      <c r="K469" s="13"/>
      <c r="L469" s="13"/>
      <c r="M469" s="13"/>
    </row>
    <row r="470">
      <c r="E470" s="13"/>
      <c r="F470" s="13"/>
      <c r="G470" s="13"/>
      <c r="H470" s="13"/>
      <c r="I470" s="13"/>
      <c r="J470" s="13"/>
      <c r="K470" s="13"/>
      <c r="L470" s="13"/>
      <c r="M470" s="13"/>
    </row>
    <row r="471">
      <c r="E471" s="13"/>
      <c r="F471" s="13"/>
      <c r="G471" s="13"/>
      <c r="H471" s="13"/>
      <c r="I471" s="13"/>
      <c r="J471" s="13"/>
      <c r="K471" s="13"/>
      <c r="L471" s="13"/>
      <c r="M471" s="13"/>
    </row>
    <row r="472">
      <c r="E472" s="13"/>
      <c r="F472" s="13"/>
      <c r="G472" s="13"/>
      <c r="H472" s="13"/>
      <c r="I472" s="13"/>
      <c r="J472" s="13"/>
      <c r="K472" s="13"/>
      <c r="L472" s="13"/>
      <c r="M472" s="13"/>
    </row>
    <row r="473">
      <c r="E473" s="13"/>
      <c r="F473" s="13"/>
      <c r="G473" s="13"/>
      <c r="H473" s="13"/>
      <c r="I473" s="13"/>
      <c r="J473" s="13"/>
      <c r="K473" s="13"/>
      <c r="L473" s="13"/>
      <c r="M473" s="13"/>
    </row>
    <row r="474">
      <c r="E474" s="13"/>
      <c r="F474" s="13"/>
      <c r="G474" s="13"/>
      <c r="H474" s="13"/>
      <c r="I474" s="13"/>
      <c r="J474" s="13"/>
      <c r="K474" s="13"/>
      <c r="L474" s="13"/>
      <c r="M474" s="13"/>
    </row>
    <row r="475">
      <c r="E475" s="13"/>
      <c r="F475" s="13"/>
      <c r="G475" s="13"/>
      <c r="H475" s="13"/>
      <c r="I475" s="13"/>
      <c r="J475" s="13"/>
      <c r="K475" s="13"/>
      <c r="L475" s="13"/>
      <c r="M475" s="13"/>
    </row>
    <row r="476">
      <c r="E476" s="13"/>
      <c r="F476" s="13"/>
      <c r="G476" s="13"/>
      <c r="H476" s="13"/>
      <c r="I476" s="13"/>
      <c r="J476" s="13"/>
      <c r="K476" s="13"/>
      <c r="L476" s="13"/>
      <c r="M476" s="13"/>
    </row>
    <row r="477">
      <c r="E477" s="13"/>
      <c r="F477" s="13"/>
      <c r="G477" s="13"/>
      <c r="H477" s="13"/>
      <c r="I477" s="13"/>
      <c r="J477" s="13"/>
      <c r="K477" s="13"/>
      <c r="L477" s="13"/>
      <c r="M477" s="13"/>
    </row>
    <row r="478">
      <c r="E478" s="13"/>
      <c r="F478" s="13"/>
      <c r="G478" s="13"/>
      <c r="H478" s="13"/>
      <c r="I478" s="13"/>
      <c r="J478" s="13"/>
      <c r="K478" s="13"/>
      <c r="L478" s="13"/>
      <c r="M478" s="13"/>
    </row>
    <row r="479">
      <c r="E479" s="13"/>
      <c r="F479" s="13"/>
      <c r="G479" s="13"/>
      <c r="H479" s="13"/>
      <c r="I479" s="13"/>
      <c r="J479" s="13"/>
      <c r="K479" s="13"/>
      <c r="L479" s="13"/>
      <c r="M479" s="13"/>
    </row>
    <row r="480">
      <c r="E480" s="13"/>
      <c r="F480" s="13"/>
      <c r="G480" s="13"/>
      <c r="H480" s="13"/>
      <c r="I480" s="13"/>
      <c r="J480" s="13"/>
      <c r="K480" s="13"/>
      <c r="L480" s="13"/>
      <c r="M480" s="13"/>
    </row>
    <row r="481">
      <c r="E481" s="13"/>
      <c r="F481" s="13"/>
      <c r="G481" s="13"/>
      <c r="H481" s="13"/>
      <c r="I481" s="13"/>
      <c r="J481" s="13"/>
      <c r="K481" s="13"/>
      <c r="L481" s="13"/>
      <c r="M481" s="13"/>
    </row>
    <row r="482">
      <c r="E482" s="13"/>
      <c r="F482" s="13"/>
      <c r="G482" s="13"/>
      <c r="H482" s="13"/>
      <c r="I482" s="13"/>
      <c r="J482" s="13"/>
      <c r="K482" s="13"/>
      <c r="L482" s="13"/>
      <c r="M482" s="13"/>
    </row>
    <row r="483">
      <c r="E483" s="13"/>
      <c r="F483" s="13"/>
      <c r="G483" s="13"/>
      <c r="H483" s="13"/>
      <c r="I483" s="13"/>
      <c r="J483" s="13"/>
      <c r="K483" s="13"/>
      <c r="L483" s="13"/>
      <c r="M483" s="13"/>
    </row>
    <row r="484">
      <c r="E484" s="13"/>
      <c r="F484" s="13"/>
      <c r="G484" s="13"/>
      <c r="H484" s="13"/>
      <c r="I484" s="13"/>
      <c r="J484" s="13"/>
      <c r="K484" s="13"/>
      <c r="L484" s="13"/>
      <c r="M484" s="13"/>
    </row>
    <row r="485">
      <c r="E485" s="13"/>
      <c r="F485" s="13"/>
      <c r="G485" s="13"/>
      <c r="H485" s="13"/>
      <c r="I485" s="13"/>
      <c r="J485" s="13"/>
      <c r="K485" s="13"/>
      <c r="L485" s="13"/>
      <c r="M485" s="13"/>
    </row>
    <row r="486">
      <c r="E486" s="13"/>
      <c r="F486" s="13"/>
      <c r="G486" s="13"/>
      <c r="H486" s="13"/>
      <c r="I486" s="13"/>
      <c r="J486" s="13"/>
      <c r="K486" s="13"/>
      <c r="L486" s="13"/>
      <c r="M486" s="13"/>
    </row>
    <row r="487">
      <c r="E487" s="13"/>
      <c r="F487" s="13"/>
      <c r="G487" s="13"/>
      <c r="H487" s="13"/>
      <c r="I487" s="13"/>
      <c r="J487" s="13"/>
      <c r="K487" s="13"/>
      <c r="L487" s="13"/>
      <c r="M487" s="13"/>
    </row>
    <row r="488">
      <c r="E488" s="13"/>
      <c r="F488" s="13"/>
      <c r="G488" s="13"/>
      <c r="H488" s="13"/>
      <c r="I488" s="13"/>
      <c r="J488" s="13"/>
      <c r="K488" s="13"/>
      <c r="L488" s="13"/>
      <c r="M488" s="13"/>
    </row>
    <row r="489">
      <c r="E489" s="13"/>
      <c r="F489" s="13"/>
      <c r="G489" s="13"/>
      <c r="H489" s="13"/>
      <c r="I489" s="13"/>
      <c r="J489" s="13"/>
      <c r="K489" s="13"/>
      <c r="L489" s="13"/>
      <c r="M489" s="13"/>
    </row>
    <row r="490">
      <c r="E490" s="13"/>
      <c r="F490" s="13"/>
      <c r="G490" s="13"/>
      <c r="H490" s="13"/>
      <c r="I490" s="13"/>
      <c r="J490" s="13"/>
      <c r="K490" s="13"/>
      <c r="L490" s="13"/>
      <c r="M490" s="13"/>
    </row>
    <row r="491">
      <c r="E491" s="13"/>
      <c r="F491" s="13"/>
      <c r="G491" s="13"/>
      <c r="H491" s="13"/>
      <c r="I491" s="13"/>
      <c r="J491" s="13"/>
      <c r="K491" s="13"/>
      <c r="L491" s="13"/>
      <c r="M491" s="13"/>
    </row>
    <row r="492">
      <c r="E492" s="13"/>
      <c r="F492" s="13"/>
      <c r="G492" s="13"/>
      <c r="H492" s="13"/>
      <c r="I492" s="13"/>
      <c r="J492" s="13"/>
      <c r="K492" s="13"/>
      <c r="L492" s="13"/>
      <c r="M492" s="13"/>
    </row>
    <row r="493">
      <c r="E493" s="13"/>
      <c r="F493" s="13"/>
      <c r="G493" s="13"/>
      <c r="H493" s="13"/>
      <c r="I493" s="13"/>
      <c r="J493" s="13"/>
      <c r="K493" s="13"/>
      <c r="L493" s="13"/>
      <c r="M493" s="13"/>
    </row>
    <row r="494">
      <c r="E494" s="13"/>
      <c r="F494" s="13"/>
      <c r="G494" s="13"/>
      <c r="H494" s="13"/>
      <c r="I494" s="13"/>
      <c r="J494" s="13"/>
      <c r="K494" s="13"/>
      <c r="L494" s="13"/>
      <c r="M494" s="13"/>
    </row>
    <row r="495">
      <c r="E495" s="13"/>
      <c r="F495" s="13"/>
      <c r="G495" s="13"/>
      <c r="H495" s="13"/>
      <c r="I495" s="13"/>
      <c r="J495" s="13"/>
      <c r="K495" s="13"/>
      <c r="L495" s="13"/>
      <c r="M495" s="13"/>
    </row>
    <row r="496">
      <c r="E496" s="13"/>
      <c r="F496" s="13"/>
      <c r="G496" s="13"/>
      <c r="H496" s="13"/>
      <c r="I496" s="13"/>
      <c r="J496" s="13"/>
      <c r="K496" s="13"/>
      <c r="L496" s="13"/>
      <c r="M496" s="13"/>
    </row>
    <row r="497">
      <c r="E497" s="13"/>
      <c r="F497" s="13"/>
      <c r="G497" s="13"/>
      <c r="H497" s="13"/>
      <c r="I497" s="13"/>
      <c r="J497" s="13"/>
      <c r="K497" s="13"/>
      <c r="L497" s="13"/>
      <c r="M497" s="13"/>
    </row>
    <row r="498">
      <c r="E498" s="13"/>
      <c r="F498" s="13"/>
      <c r="G498" s="13"/>
      <c r="H498" s="13"/>
      <c r="I498" s="13"/>
      <c r="J498" s="13"/>
      <c r="K498" s="13"/>
      <c r="L498" s="13"/>
      <c r="M498" s="13"/>
    </row>
    <row r="499">
      <c r="E499" s="13"/>
      <c r="F499" s="13"/>
      <c r="G499" s="13"/>
      <c r="H499" s="13"/>
      <c r="I499" s="13"/>
      <c r="J499" s="13"/>
      <c r="K499" s="13"/>
      <c r="L499" s="13"/>
      <c r="M499" s="13"/>
    </row>
    <row r="500">
      <c r="E500" s="13"/>
      <c r="F500" s="13"/>
      <c r="G500" s="13"/>
      <c r="H500" s="13"/>
      <c r="I500" s="13"/>
      <c r="J500" s="13"/>
      <c r="K500" s="13"/>
      <c r="L500" s="13"/>
      <c r="M500" s="13"/>
    </row>
    <row r="501">
      <c r="E501" s="13"/>
      <c r="F501" s="13"/>
      <c r="G501" s="13"/>
      <c r="H501" s="13"/>
      <c r="I501" s="13"/>
      <c r="J501" s="13"/>
      <c r="K501" s="13"/>
      <c r="L501" s="13"/>
      <c r="M501" s="13"/>
    </row>
    <row r="502">
      <c r="E502" s="13"/>
      <c r="F502" s="13"/>
      <c r="G502" s="13"/>
      <c r="H502" s="13"/>
      <c r="I502" s="13"/>
      <c r="J502" s="13"/>
      <c r="K502" s="13"/>
      <c r="L502" s="13"/>
      <c r="M502" s="13"/>
    </row>
    <row r="503">
      <c r="E503" s="13"/>
      <c r="F503" s="13"/>
      <c r="G503" s="13"/>
      <c r="H503" s="13"/>
      <c r="I503" s="13"/>
      <c r="J503" s="13"/>
      <c r="K503" s="13"/>
      <c r="L503" s="13"/>
      <c r="M503" s="13"/>
    </row>
    <row r="504">
      <c r="E504" s="13"/>
      <c r="F504" s="13"/>
      <c r="G504" s="13"/>
      <c r="H504" s="13"/>
      <c r="I504" s="13"/>
      <c r="J504" s="13"/>
      <c r="K504" s="13"/>
      <c r="L504" s="13"/>
      <c r="M504" s="13"/>
    </row>
    <row r="505">
      <c r="E505" s="13"/>
      <c r="F505" s="13"/>
      <c r="G505" s="13"/>
      <c r="H505" s="13"/>
      <c r="I505" s="13"/>
      <c r="J505" s="13"/>
      <c r="K505" s="13"/>
      <c r="L505" s="13"/>
      <c r="M505" s="13"/>
    </row>
    <row r="506">
      <c r="E506" s="13"/>
      <c r="F506" s="13"/>
      <c r="G506" s="13"/>
      <c r="H506" s="13"/>
      <c r="I506" s="13"/>
      <c r="J506" s="13"/>
      <c r="K506" s="13"/>
      <c r="L506" s="13"/>
      <c r="M506" s="13"/>
    </row>
    <row r="507">
      <c r="E507" s="13"/>
      <c r="F507" s="13"/>
      <c r="G507" s="13"/>
      <c r="H507" s="13"/>
      <c r="I507" s="13"/>
      <c r="J507" s="13"/>
      <c r="K507" s="13"/>
      <c r="L507" s="13"/>
      <c r="M507" s="13"/>
    </row>
    <row r="508">
      <c r="E508" s="13"/>
      <c r="F508" s="13"/>
      <c r="G508" s="13"/>
      <c r="H508" s="13"/>
      <c r="I508" s="13"/>
      <c r="J508" s="13"/>
      <c r="K508" s="13"/>
      <c r="L508" s="13"/>
      <c r="M508" s="13"/>
    </row>
    <row r="509">
      <c r="E509" s="13"/>
      <c r="F509" s="13"/>
      <c r="G509" s="13"/>
      <c r="H509" s="13"/>
      <c r="I509" s="13"/>
      <c r="J509" s="13"/>
      <c r="K509" s="13"/>
      <c r="L509" s="13"/>
      <c r="M509" s="13"/>
    </row>
    <row r="510">
      <c r="E510" s="13"/>
      <c r="F510" s="13"/>
      <c r="G510" s="13"/>
      <c r="H510" s="13"/>
      <c r="I510" s="13"/>
      <c r="J510" s="13"/>
      <c r="K510" s="13"/>
      <c r="L510" s="13"/>
      <c r="M510" s="13"/>
    </row>
    <row r="511">
      <c r="E511" s="13"/>
      <c r="F511" s="13"/>
      <c r="G511" s="13"/>
      <c r="H511" s="13"/>
      <c r="I511" s="13"/>
      <c r="J511" s="13"/>
      <c r="K511" s="13"/>
      <c r="L511" s="13"/>
      <c r="M511" s="13"/>
    </row>
    <row r="512">
      <c r="E512" s="13"/>
      <c r="F512" s="13"/>
      <c r="G512" s="13"/>
      <c r="H512" s="13"/>
      <c r="I512" s="13"/>
      <c r="J512" s="13"/>
      <c r="K512" s="13"/>
      <c r="L512" s="13"/>
      <c r="M512" s="13"/>
    </row>
    <row r="513">
      <c r="E513" s="13"/>
      <c r="F513" s="13"/>
      <c r="G513" s="13"/>
      <c r="H513" s="13"/>
      <c r="I513" s="13"/>
      <c r="J513" s="13"/>
      <c r="K513" s="13"/>
      <c r="L513" s="13"/>
      <c r="M513" s="13"/>
    </row>
    <row r="514">
      <c r="E514" s="13"/>
      <c r="F514" s="13"/>
      <c r="G514" s="13"/>
      <c r="H514" s="13"/>
      <c r="I514" s="13"/>
      <c r="J514" s="13"/>
      <c r="K514" s="13"/>
      <c r="L514" s="13"/>
      <c r="M514" s="13"/>
    </row>
    <row r="515">
      <c r="E515" s="13"/>
      <c r="F515" s="13"/>
      <c r="G515" s="13"/>
      <c r="H515" s="13"/>
      <c r="I515" s="13"/>
      <c r="J515" s="13"/>
      <c r="K515" s="13"/>
      <c r="L515" s="13"/>
      <c r="M515" s="13"/>
    </row>
    <row r="516">
      <c r="E516" s="13"/>
      <c r="F516" s="13"/>
      <c r="G516" s="13"/>
      <c r="H516" s="13"/>
      <c r="I516" s="13"/>
      <c r="J516" s="13"/>
      <c r="K516" s="13"/>
      <c r="L516" s="13"/>
      <c r="M516" s="13"/>
    </row>
    <row r="517">
      <c r="E517" s="13"/>
      <c r="F517" s="13"/>
      <c r="G517" s="13"/>
      <c r="H517" s="13"/>
      <c r="I517" s="13"/>
      <c r="J517" s="13"/>
      <c r="K517" s="13"/>
      <c r="L517" s="13"/>
      <c r="M517" s="13"/>
    </row>
    <row r="518">
      <c r="E518" s="13"/>
      <c r="F518" s="13"/>
      <c r="G518" s="13"/>
      <c r="H518" s="13"/>
      <c r="I518" s="13"/>
      <c r="J518" s="13"/>
      <c r="K518" s="13"/>
      <c r="L518" s="13"/>
      <c r="M518" s="13"/>
    </row>
    <row r="519">
      <c r="E519" s="13"/>
      <c r="F519" s="13"/>
      <c r="G519" s="13"/>
      <c r="H519" s="13"/>
      <c r="I519" s="13"/>
      <c r="J519" s="13"/>
      <c r="K519" s="13"/>
      <c r="L519" s="13"/>
      <c r="M519" s="13"/>
    </row>
    <row r="520">
      <c r="E520" s="13"/>
      <c r="F520" s="13"/>
      <c r="G520" s="13"/>
      <c r="H520" s="13"/>
      <c r="I520" s="13"/>
      <c r="J520" s="13"/>
      <c r="K520" s="13"/>
      <c r="L520" s="13"/>
      <c r="M520" s="13"/>
    </row>
    <row r="521">
      <c r="E521" s="13"/>
      <c r="F521" s="13"/>
      <c r="G521" s="13"/>
      <c r="H521" s="13"/>
      <c r="I521" s="13"/>
      <c r="J521" s="13"/>
      <c r="K521" s="13"/>
      <c r="L521" s="13"/>
      <c r="M521" s="13"/>
    </row>
    <row r="522">
      <c r="E522" s="13"/>
      <c r="F522" s="13"/>
      <c r="G522" s="13"/>
      <c r="H522" s="13"/>
      <c r="I522" s="13"/>
      <c r="J522" s="13"/>
      <c r="K522" s="13"/>
      <c r="L522" s="13"/>
      <c r="M522" s="13"/>
    </row>
    <row r="523">
      <c r="E523" s="13"/>
      <c r="F523" s="13"/>
      <c r="G523" s="13"/>
      <c r="H523" s="13"/>
      <c r="I523" s="13"/>
      <c r="J523" s="13"/>
      <c r="K523" s="13"/>
      <c r="L523" s="13"/>
      <c r="M523" s="13"/>
    </row>
    <row r="524">
      <c r="E524" s="13"/>
      <c r="F524" s="13"/>
      <c r="G524" s="13"/>
      <c r="H524" s="13"/>
      <c r="I524" s="13"/>
      <c r="J524" s="13"/>
      <c r="K524" s="13"/>
      <c r="L524" s="13"/>
      <c r="M524" s="13"/>
    </row>
    <row r="525">
      <c r="E525" s="13"/>
      <c r="F525" s="13"/>
      <c r="G525" s="13"/>
      <c r="H525" s="13"/>
      <c r="I525" s="13"/>
      <c r="J525" s="13"/>
      <c r="K525" s="13"/>
      <c r="L525" s="13"/>
      <c r="M525" s="13"/>
    </row>
    <row r="526">
      <c r="E526" s="13"/>
      <c r="F526" s="13"/>
      <c r="G526" s="13"/>
      <c r="H526" s="13"/>
      <c r="I526" s="13"/>
      <c r="J526" s="13"/>
      <c r="K526" s="13"/>
      <c r="L526" s="13"/>
      <c r="M526" s="13"/>
    </row>
    <row r="527">
      <c r="E527" s="13"/>
      <c r="F527" s="13"/>
      <c r="G527" s="13"/>
      <c r="H527" s="13"/>
      <c r="I527" s="13"/>
      <c r="J527" s="13"/>
      <c r="K527" s="13"/>
      <c r="L527" s="13"/>
      <c r="M527" s="13"/>
    </row>
    <row r="528">
      <c r="E528" s="13"/>
      <c r="F528" s="13"/>
      <c r="G528" s="13"/>
      <c r="H528" s="13"/>
      <c r="I528" s="13"/>
      <c r="J528" s="13"/>
      <c r="K528" s="13"/>
      <c r="L528" s="13"/>
      <c r="M528" s="13"/>
    </row>
    <row r="529">
      <c r="E529" s="13"/>
      <c r="F529" s="13"/>
      <c r="G529" s="13"/>
      <c r="H529" s="13"/>
      <c r="I529" s="13"/>
      <c r="J529" s="13"/>
      <c r="K529" s="13"/>
      <c r="L529" s="13"/>
      <c r="M529" s="13"/>
    </row>
    <row r="530">
      <c r="E530" s="13"/>
      <c r="F530" s="13"/>
      <c r="G530" s="13"/>
      <c r="H530" s="13"/>
      <c r="I530" s="13"/>
      <c r="J530" s="13"/>
      <c r="K530" s="13"/>
      <c r="L530" s="13"/>
      <c r="M530" s="13"/>
    </row>
    <row r="531">
      <c r="E531" s="13"/>
      <c r="F531" s="13"/>
      <c r="G531" s="13"/>
      <c r="H531" s="13"/>
      <c r="I531" s="13"/>
      <c r="J531" s="13"/>
      <c r="K531" s="13"/>
      <c r="L531" s="13"/>
      <c r="M531" s="13"/>
    </row>
    <row r="532">
      <c r="E532" s="13"/>
      <c r="F532" s="13"/>
      <c r="G532" s="13"/>
      <c r="H532" s="13"/>
      <c r="I532" s="13"/>
      <c r="J532" s="13"/>
      <c r="K532" s="13"/>
      <c r="L532" s="13"/>
      <c r="M532" s="13"/>
    </row>
    <row r="533">
      <c r="E533" s="13"/>
      <c r="F533" s="13"/>
      <c r="G533" s="13"/>
      <c r="H533" s="13"/>
      <c r="I533" s="13"/>
      <c r="J533" s="13"/>
      <c r="K533" s="13"/>
      <c r="L533" s="13"/>
      <c r="M533" s="13"/>
    </row>
    <row r="534">
      <c r="E534" s="13"/>
      <c r="F534" s="13"/>
      <c r="G534" s="13"/>
      <c r="H534" s="13"/>
      <c r="I534" s="13"/>
      <c r="J534" s="13"/>
      <c r="K534" s="13"/>
      <c r="L534" s="13"/>
      <c r="M534" s="13"/>
    </row>
    <row r="535">
      <c r="E535" s="13"/>
      <c r="F535" s="13"/>
      <c r="G535" s="13"/>
      <c r="H535" s="13"/>
      <c r="I535" s="13"/>
      <c r="J535" s="13"/>
      <c r="K535" s="13"/>
      <c r="L535" s="13"/>
      <c r="M535" s="13"/>
    </row>
    <row r="536">
      <c r="E536" s="13"/>
      <c r="F536" s="13"/>
      <c r="G536" s="13"/>
      <c r="H536" s="13"/>
      <c r="I536" s="13"/>
      <c r="J536" s="13"/>
      <c r="K536" s="13"/>
      <c r="L536" s="13"/>
      <c r="M536" s="13"/>
    </row>
    <row r="537">
      <c r="E537" s="13"/>
      <c r="F537" s="13"/>
      <c r="G537" s="13"/>
      <c r="H537" s="13"/>
      <c r="I537" s="13"/>
      <c r="J537" s="13"/>
      <c r="K537" s="13"/>
      <c r="L537" s="13"/>
      <c r="M537" s="13"/>
    </row>
    <row r="538">
      <c r="E538" s="13"/>
      <c r="F538" s="13"/>
      <c r="G538" s="13"/>
      <c r="H538" s="13"/>
      <c r="I538" s="13"/>
      <c r="J538" s="13"/>
      <c r="K538" s="13"/>
      <c r="L538" s="13"/>
      <c r="M538" s="13"/>
    </row>
    <row r="539">
      <c r="E539" s="13"/>
      <c r="F539" s="13"/>
      <c r="G539" s="13"/>
      <c r="H539" s="13"/>
      <c r="I539" s="13"/>
      <c r="J539" s="13"/>
      <c r="K539" s="13"/>
      <c r="L539" s="13"/>
      <c r="M539" s="13"/>
    </row>
    <row r="540">
      <c r="E540" s="13"/>
      <c r="F540" s="13"/>
      <c r="G540" s="13"/>
      <c r="H540" s="13"/>
      <c r="I540" s="13"/>
      <c r="J540" s="13"/>
      <c r="K540" s="13"/>
      <c r="L540" s="13"/>
      <c r="M540" s="13"/>
    </row>
    <row r="541">
      <c r="E541" s="13"/>
      <c r="F541" s="13"/>
      <c r="G541" s="13"/>
      <c r="H541" s="13"/>
      <c r="I541" s="13"/>
      <c r="J541" s="13"/>
      <c r="K541" s="13"/>
      <c r="L541" s="13"/>
      <c r="M541" s="13"/>
    </row>
    <row r="542">
      <c r="E542" s="13"/>
      <c r="F542" s="13"/>
      <c r="G542" s="13"/>
      <c r="H542" s="13"/>
      <c r="I542" s="13"/>
      <c r="J542" s="13"/>
      <c r="K542" s="13"/>
      <c r="L542" s="13"/>
      <c r="M542" s="13"/>
    </row>
    <row r="543">
      <c r="E543" s="13"/>
      <c r="F543" s="13"/>
      <c r="G543" s="13"/>
      <c r="H543" s="13"/>
      <c r="I543" s="13"/>
      <c r="J543" s="13"/>
      <c r="K543" s="13"/>
      <c r="L543" s="13"/>
      <c r="M543" s="13"/>
    </row>
    <row r="544">
      <c r="E544" s="13"/>
      <c r="F544" s="13"/>
      <c r="G544" s="13"/>
      <c r="H544" s="13"/>
      <c r="I544" s="13"/>
      <c r="J544" s="13"/>
      <c r="K544" s="13"/>
      <c r="L544" s="13"/>
      <c r="M544" s="13"/>
    </row>
    <row r="545">
      <c r="E545" s="13"/>
      <c r="F545" s="13"/>
      <c r="G545" s="13"/>
      <c r="H545" s="13"/>
      <c r="I545" s="13"/>
      <c r="J545" s="13"/>
      <c r="K545" s="13"/>
      <c r="L545" s="13"/>
      <c r="M545" s="13"/>
    </row>
    <row r="546">
      <c r="E546" s="13"/>
      <c r="F546" s="13"/>
      <c r="G546" s="13"/>
      <c r="H546" s="13"/>
      <c r="I546" s="13"/>
      <c r="J546" s="13"/>
      <c r="K546" s="13"/>
      <c r="L546" s="13"/>
      <c r="M546" s="13"/>
    </row>
    <row r="547">
      <c r="E547" s="13"/>
      <c r="F547" s="13"/>
      <c r="G547" s="13"/>
      <c r="H547" s="13"/>
      <c r="I547" s="13"/>
      <c r="J547" s="13"/>
      <c r="K547" s="13"/>
      <c r="L547" s="13"/>
      <c r="M547" s="13"/>
    </row>
    <row r="548">
      <c r="E548" s="13"/>
      <c r="F548" s="13"/>
      <c r="G548" s="13"/>
      <c r="H548" s="13"/>
      <c r="I548" s="13"/>
      <c r="J548" s="13"/>
      <c r="K548" s="13"/>
      <c r="L548" s="13"/>
      <c r="M548" s="13"/>
    </row>
    <row r="549">
      <c r="E549" s="13"/>
      <c r="F549" s="13"/>
      <c r="G549" s="13"/>
      <c r="H549" s="13"/>
      <c r="I549" s="13"/>
      <c r="J549" s="13"/>
      <c r="K549" s="13"/>
      <c r="L549" s="13"/>
      <c r="M549" s="13"/>
    </row>
    <row r="550">
      <c r="E550" s="13"/>
      <c r="F550" s="13"/>
      <c r="G550" s="13"/>
      <c r="H550" s="13"/>
      <c r="I550" s="13"/>
      <c r="J550" s="13"/>
      <c r="K550" s="13"/>
      <c r="L550" s="13"/>
      <c r="M550" s="13"/>
    </row>
    <row r="551">
      <c r="E551" s="13"/>
      <c r="F551" s="13"/>
      <c r="G551" s="13"/>
      <c r="H551" s="13"/>
      <c r="I551" s="13"/>
      <c r="J551" s="13"/>
      <c r="K551" s="13"/>
      <c r="L551" s="13"/>
      <c r="M551" s="13"/>
    </row>
    <row r="552">
      <c r="E552" s="13"/>
      <c r="F552" s="13"/>
      <c r="G552" s="13"/>
      <c r="H552" s="13"/>
      <c r="I552" s="13"/>
      <c r="J552" s="13"/>
      <c r="K552" s="13"/>
      <c r="L552" s="13"/>
      <c r="M552" s="13"/>
    </row>
    <row r="553">
      <c r="E553" s="13"/>
      <c r="F553" s="13"/>
      <c r="G553" s="13"/>
      <c r="H553" s="13"/>
      <c r="I553" s="13"/>
      <c r="J553" s="13"/>
      <c r="K553" s="13"/>
      <c r="L553" s="13"/>
      <c r="M553" s="13"/>
    </row>
    <row r="554">
      <c r="E554" s="13"/>
      <c r="F554" s="13"/>
      <c r="G554" s="13"/>
      <c r="H554" s="13"/>
      <c r="I554" s="13"/>
      <c r="J554" s="13"/>
      <c r="K554" s="13"/>
      <c r="L554" s="13"/>
      <c r="M554" s="13"/>
    </row>
    <row r="555">
      <c r="E555" s="13"/>
      <c r="F555" s="13"/>
      <c r="G555" s="13"/>
      <c r="H555" s="13"/>
      <c r="I555" s="13"/>
      <c r="J555" s="13"/>
      <c r="K555" s="13"/>
      <c r="L555" s="13"/>
      <c r="M555" s="13"/>
    </row>
    <row r="556">
      <c r="E556" s="13"/>
      <c r="F556" s="13"/>
      <c r="G556" s="13"/>
      <c r="H556" s="13"/>
      <c r="I556" s="13"/>
      <c r="J556" s="13"/>
      <c r="K556" s="13"/>
      <c r="L556" s="13"/>
      <c r="M556" s="13"/>
    </row>
    <row r="557">
      <c r="E557" s="13"/>
      <c r="F557" s="13"/>
      <c r="G557" s="13"/>
      <c r="H557" s="13"/>
      <c r="I557" s="13"/>
      <c r="J557" s="13"/>
      <c r="K557" s="13"/>
      <c r="L557" s="13"/>
      <c r="M557" s="13"/>
    </row>
    <row r="558">
      <c r="E558" s="13"/>
      <c r="F558" s="13"/>
      <c r="G558" s="13"/>
      <c r="H558" s="13"/>
      <c r="I558" s="13"/>
      <c r="J558" s="13"/>
      <c r="K558" s="13"/>
      <c r="L558" s="13"/>
      <c r="M558" s="13"/>
    </row>
    <row r="559">
      <c r="E559" s="13"/>
      <c r="F559" s="13"/>
      <c r="G559" s="13"/>
      <c r="H559" s="13"/>
      <c r="I559" s="13"/>
      <c r="J559" s="13"/>
      <c r="K559" s="13"/>
      <c r="L559" s="13"/>
      <c r="M559" s="13"/>
    </row>
    <row r="560">
      <c r="E560" s="13"/>
      <c r="F560" s="13"/>
      <c r="G560" s="13"/>
      <c r="H560" s="13"/>
      <c r="I560" s="13"/>
      <c r="J560" s="13"/>
      <c r="K560" s="13"/>
      <c r="L560" s="13"/>
      <c r="M560" s="13"/>
    </row>
    <row r="561">
      <c r="E561" s="13"/>
      <c r="F561" s="13"/>
      <c r="G561" s="13"/>
      <c r="H561" s="13"/>
      <c r="I561" s="13"/>
      <c r="J561" s="13"/>
      <c r="K561" s="13"/>
      <c r="L561" s="13"/>
      <c r="M561" s="13"/>
    </row>
    <row r="562">
      <c r="E562" s="13"/>
      <c r="F562" s="13"/>
      <c r="G562" s="13"/>
      <c r="H562" s="13"/>
      <c r="I562" s="13"/>
      <c r="J562" s="13"/>
      <c r="K562" s="13"/>
      <c r="L562" s="13"/>
      <c r="M562" s="13"/>
    </row>
    <row r="563">
      <c r="E563" s="13"/>
      <c r="F563" s="13"/>
      <c r="G563" s="13"/>
      <c r="H563" s="13"/>
      <c r="I563" s="13"/>
      <c r="J563" s="13"/>
      <c r="K563" s="13"/>
      <c r="L563" s="13"/>
      <c r="M563" s="13"/>
    </row>
    <row r="564">
      <c r="E564" s="13"/>
      <c r="F564" s="13"/>
      <c r="G564" s="13"/>
      <c r="H564" s="13"/>
      <c r="I564" s="13"/>
      <c r="J564" s="13"/>
      <c r="K564" s="13"/>
      <c r="L564" s="13"/>
      <c r="M564" s="13"/>
    </row>
    <row r="565">
      <c r="E565" s="13"/>
      <c r="F565" s="13"/>
      <c r="G565" s="13"/>
      <c r="H565" s="13"/>
      <c r="I565" s="13"/>
      <c r="J565" s="13"/>
      <c r="K565" s="13"/>
      <c r="L565" s="13"/>
      <c r="M565" s="13"/>
    </row>
    <row r="566">
      <c r="E566" s="13"/>
      <c r="F566" s="13"/>
      <c r="G566" s="13"/>
      <c r="H566" s="13"/>
      <c r="I566" s="13"/>
      <c r="J566" s="13"/>
      <c r="K566" s="13"/>
      <c r="L566" s="13"/>
      <c r="M566" s="13"/>
    </row>
    <row r="567">
      <c r="E567" s="13"/>
      <c r="F567" s="13"/>
      <c r="G567" s="13"/>
      <c r="H567" s="13"/>
      <c r="I567" s="13"/>
      <c r="J567" s="13"/>
      <c r="K567" s="13"/>
      <c r="L567" s="13"/>
      <c r="M567" s="13"/>
    </row>
    <row r="568">
      <c r="E568" s="13"/>
      <c r="F568" s="13"/>
      <c r="G568" s="13"/>
      <c r="H568" s="13"/>
      <c r="I568" s="13"/>
      <c r="J568" s="13"/>
      <c r="K568" s="13"/>
      <c r="L568" s="13"/>
      <c r="M568" s="13"/>
    </row>
    <row r="569">
      <c r="E569" s="13"/>
      <c r="F569" s="13"/>
      <c r="G569" s="13"/>
      <c r="H569" s="13"/>
      <c r="I569" s="13"/>
      <c r="J569" s="13"/>
      <c r="K569" s="13"/>
      <c r="L569" s="13"/>
      <c r="M569" s="13"/>
    </row>
    <row r="570">
      <c r="E570" s="13"/>
      <c r="F570" s="13"/>
      <c r="G570" s="13"/>
      <c r="H570" s="13"/>
      <c r="I570" s="13"/>
      <c r="J570" s="13"/>
      <c r="K570" s="13"/>
      <c r="L570" s="13"/>
      <c r="M570" s="13"/>
    </row>
    <row r="571">
      <c r="E571" s="13"/>
      <c r="F571" s="13"/>
      <c r="G571" s="13"/>
      <c r="H571" s="13"/>
      <c r="I571" s="13"/>
      <c r="J571" s="13"/>
      <c r="K571" s="13"/>
      <c r="L571" s="13"/>
      <c r="M571" s="13"/>
    </row>
    <row r="572">
      <c r="E572" s="13"/>
      <c r="F572" s="13"/>
      <c r="G572" s="13"/>
      <c r="H572" s="13"/>
      <c r="I572" s="13"/>
      <c r="J572" s="13"/>
      <c r="K572" s="13"/>
      <c r="L572" s="13"/>
      <c r="M572" s="13"/>
    </row>
    <row r="573">
      <c r="E573" s="13"/>
      <c r="F573" s="13"/>
      <c r="G573" s="13"/>
      <c r="H573" s="13"/>
      <c r="I573" s="13"/>
      <c r="J573" s="13"/>
      <c r="K573" s="13"/>
      <c r="L573" s="13"/>
      <c r="M573" s="13"/>
    </row>
    <row r="574">
      <c r="E574" s="13"/>
      <c r="F574" s="13"/>
      <c r="G574" s="13"/>
      <c r="H574" s="13"/>
      <c r="I574" s="13"/>
      <c r="J574" s="13"/>
      <c r="K574" s="13"/>
      <c r="L574" s="13"/>
      <c r="M574" s="13"/>
    </row>
    <row r="575">
      <c r="E575" s="13"/>
      <c r="F575" s="13"/>
      <c r="G575" s="13"/>
      <c r="H575" s="13"/>
      <c r="I575" s="13"/>
      <c r="J575" s="13"/>
      <c r="K575" s="13"/>
      <c r="L575" s="13"/>
      <c r="M575" s="13"/>
    </row>
    <row r="576">
      <c r="E576" s="13"/>
      <c r="F576" s="13"/>
      <c r="G576" s="13"/>
      <c r="H576" s="13"/>
      <c r="I576" s="13"/>
      <c r="J576" s="13"/>
      <c r="K576" s="13"/>
      <c r="L576" s="13"/>
      <c r="M576" s="13"/>
    </row>
    <row r="577">
      <c r="E577" s="13"/>
      <c r="F577" s="13"/>
      <c r="G577" s="13"/>
      <c r="H577" s="13"/>
      <c r="I577" s="13"/>
      <c r="J577" s="13"/>
      <c r="K577" s="13"/>
      <c r="L577" s="13"/>
      <c r="M577" s="13"/>
    </row>
    <row r="578">
      <c r="E578" s="13"/>
      <c r="F578" s="13"/>
      <c r="G578" s="13"/>
      <c r="H578" s="13"/>
      <c r="I578" s="13"/>
      <c r="J578" s="13"/>
      <c r="K578" s="13"/>
      <c r="L578" s="13"/>
      <c r="M578" s="13"/>
    </row>
    <row r="579">
      <c r="E579" s="13"/>
      <c r="F579" s="13"/>
      <c r="G579" s="13"/>
      <c r="H579" s="13"/>
      <c r="I579" s="13"/>
      <c r="J579" s="13"/>
      <c r="K579" s="13"/>
      <c r="L579" s="13"/>
      <c r="M579" s="13"/>
    </row>
    <row r="580">
      <c r="E580" s="13"/>
      <c r="F580" s="13"/>
      <c r="G580" s="13"/>
      <c r="H580" s="13"/>
      <c r="I580" s="13"/>
      <c r="J580" s="13"/>
      <c r="K580" s="13"/>
      <c r="L580" s="13"/>
      <c r="M580" s="13"/>
    </row>
    <row r="581">
      <c r="E581" s="13"/>
      <c r="F581" s="13"/>
      <c r="G581" s="13"/>
      <c r="H581" s="13"/>
      <c r="I581" s="13"/>
      <c r="J581" s="13"/>
      <c r="K581" s="13"/>
      <c r="L581" s="13"/>
      <c r="M581" s="13"/>
    </row>
    <row r="582">
      <c r="E582" s="13"/>
      <c r="F582" s="13"/>
      <c r="G582" s="13"/>
      <c r="H582" s="13"/>
      <c r="I582" s="13"/>
      <c r="J582" s="13"/>
      <c r="K582" s="13"/>
      <c r="L582" s="13"/>
      <c r="M582" s="13"/>
    </row>
    <row r="583">
      <c r="E583" s="13"/>
      <c r="F583" s="13"/>
      <c r="G583" s="13"/>
      <c r="H583" s="13"/>
      <c r="I583" s="13"/>
      <c r="J583" s="13"/>
      <c r="K583" s="13"/>
      <c r="L583" s="13"/>
      <c r="M583" s="13"/>
    </row>
    <row r="584">
      <c r="E584" s="13"/>
      <c r="F584" s="13"/>
      <c r="G584" s="13"/>
      <c r="H584" s="13"/>
      <c r="I584" s="13"/>
      <c r="J584" s="13"/>
      <c r="K584" s="13"/>
      <c r="L584" s="13"/>
      <c r="M584" s="13"/>
    </row>
    <row r="585">
      <c r="E585" s="13"/>
      <c r="F585" s="13"/>
      <c r="G585" s="13"/>
      <c r="H585" s="13"/>
      <c r="I585" s="13"/>
      <c r="J585" s="13"/>
      <c r="K585" s="13"/>
      <c r="L585" s="13"/>
      <c r="M585" s="13"/>
    </row>
    <row r="586">
      <c r="E586" s="13"/>
      <c r="F586" s="13"/>
      <c r="G586" s="13"/>
      <c r="H586" s="13"/>
      <c r="I586" s="13"/>
      <c r="J586" s="13"/>
      <c r="K586" s="13"/>
      <c r="L586" s="13"/>
      <c r="M586" s="13"/>
    </row>
    <row r="587">
      <c r="E587" s="13"/>
      <c r="F587" s="13"/>
      <c r="G587" s="13"/>
      <c r="H587" s="13"/>
      <c r="I587" s="13"/>
      <c r="J587" s="13"/>
      <c r="K587" s="13"/>
      <c r="L587" s="13"/>
      <c r="M587" s="13"/>
    </row>
    <row r="588">
      <c r="E588" s="13"/>
      <c r="F588" s="13"/>
      <c r="G588" s="13"/>
      <c r="H588" s="13"/>
      <c r="I588" s="13"/>
      <c r="J588" s="13"/>
      <c r="K588" s="13"/>
      <c r="L588" s="13"/>
      <c r="M588" s="13"/>
    </row>
    <row r="589">
      <c r="E589" s="13"/>
      <c r="F589" s="13"/>
      <c r="G589" s="13"/>
      <c r="H589" s="13"/>
      <c r="I589" s="13"/>
      <c r="J589" s="13"/>
      <c r="K589" s="13"/>
      <c r="L589" s="13"/>
      <c r="M589" s="13"/>
    </row>
    <row r="590">
      <c r="E590" s="13"/>
      <c r="F590" s="13"/>
      <c r="G590" s="13"/>
      <c r="H590" s="13"/>
      <c r="I590" s="13"/>
      <c r="J590" s="13"/>
      <c r="K590" s="13"/>
      <c r="L590" s="13"/>
      <c r="M590" s="13"/>
    </row>
    <row r="591">
      <c r="E591" s="13"/>
      <c r="F591" s="13"/>
      <c r="G591" s="13"/>
      <c r="H591" s="13"/>
      <c r="I591" s="13"/>
      <c r="J591" s="13"/>
      <c r="K591" s="13"/>
      <c r="L591" s="13"/>
      <c r="M591" s="13"/>
    </row>
    <row r="592">
      <c r="E592" s="13"/>
      <c r="F592" s="13"/>
      <c r="G592" s="13"/>
      <c r="H592" s="13"/>
      <c r="I592" s="13"/>
      <c r="J592" s="13"/>
      <c r="K592" s="13"/>
      <c r="L592" s="13"/>
      <c r="M592" s="13"/>
    </row>
    <row r="593">
      <c r="E593" s="13"/>
      <c r="F593" s="13"/>
      <c r="G593" s="13"/>
      <c r="H593" s="13"/>
      <c r="I593" s="13"/>
      <c r="J593" s="13"/>
      <c r="K593" s="13"/>
      <c r="L593" s="13"/>
      <c r="M593" s="13"/>
    </row>
    <row r="594">
      <c r="E594" s="13"/>
      <c r="F594" s="13"/>
      <c r="G594" s="13"/>
      <c r="H594" s="13"/>
      <c r="I594" s="13"/>
      <c r="J594" s="13"/>
      <c r="K594" s="13"/>
      <c r="L594" s="13"/>
      <c r="M594" s="13"/>
    </row>
    <row r="595">
      <c r="E595" s="13"/>
      <c r="F595" s="13"/>
      <c r="G595" s="13"/>
      <c r="H595" s="13"/>
      <c r="I595" s="13"/>
      <c r="J595" s="13"/>
      <c r="K595" s="13"/>
      <c r="L595" s="13"/>
      <c r="M595" s="13"/>
    </row>
    <row r="596">
      <c r="E596" s="13"/>
      <c r="F596" s="13"/>
      <c r="G596" s="13"/>
      <c r="H596" s="13"/>
      <c r="I596" s="13"/>
      <c r="J596" s="13"/>
      <c r="K596" s="13"/>
      <c r="L596" s="13"/>
      <c r="M596" s="13"/>
    </row>
    <row r="597">
      <c r="E597" s="13"/>
      <c r="F597" s="13"/>
      <c r="G597" s="13"/>
      <c r="H597" s="13"/>
      <c r="I597" s="13"/>
      <c r="J597" s="13"/>
      <c r="K597" s="13"/>
      <c r="L597" s="13"/>
      <c r="M597" s="13"/>
    </row>
    <row r="598">
      <c r="E598" s="13"/>
      <c r="F598" s="13"/>
      <c r="G598" s="13"/>
      <c r="H598" s="13"/>
      <c r="I598" s="13"/>
      <c r="J598" s="13"/>
      <c r="K598" s="13"/>
      <c r="L598" s="13"/>
      <c r="M598" s="13"/>
    </row>
    <row r="599">
      <c r="E599" s="13"/>
      <c r="F599" s="13"/>
      <c r="G599" s="13"/>
      <c r="H599" s="13"/>
      <c r="I599" s="13"/>
      <c r="J599" s="13"/>
      <c r="K599" s="13"/>
      <c r="L599" s="13"/>
      <c r="M599" s="13"/>
    </row>
    <row r="600">
      <c r="E600" s="13"/>
      <c r="F600" s="13"/>
      <c r="G600" s="13"/>
      <c r="H600" s="13"/>
      <c r="I600" s="13"/>
      <c r="J600" s="13"/>
      <c r="K600" s="13"/>
      <c r="L600" s="13"/>
      <c r="M600" s="13"/>
    </row>
    <row r="601">
      <c r="E601" s="13"/>
      <c r="F601" s="13"/>
      <c r="G601" s="13"/>
      <c r="H601" s="13"/>
      <c r="I601" s="13"/>
      <c r="J601" s="13"/>
      <c r="K601" s="13"/>
      <c r="L601" s="13"/>
      <c r="M601" s="13"/>
    </row>
    <row r="602">
      <c r="E602" s="13"/>
      <c r="F602" s="13"/>
      <c r="G602" s="13"/>
      <c r="H602" s="13"/>
      <c r="I602" s="13"/>
      <c r="J602" s="13"/>
      <c r="K602" s="13"/>
      <c r="L602" s="13"/>
      <c r="M602" s="13"/>
    </row>
    <row r="603">
      <c r="E603" s="13"/>
      <c r="F603" s="13"/>
      <c r="G603" s="13"/>
      <c r="H603" s="13"/>
      <c r="I603" s="13"/>
      <c r="J603" s="13"/>
      <c r="K603" s="13"/>
      <c r="L603" s="13"/>
      <c r="M603" s="13"/>
    </row>
    <row r="604">
      <c r="E604" s="13"/>
      <c r="F604" s="13"/>
      <c r="G604" s="13"/>
      <c r="H604" s="13"/>
      <c r="I604" s="13"/>
      <c r="J604" s="13"/>
      <c r="K604" s="13"/>
      <c r="L604" s="13"/>
      <c r="M604" s="13"/>
    </row>
    <row r="605">
      <c r="E605" s="13"/>
      <c r="F605" s="13"/>
      <c r="G605" s="13"/>
      <c r="H605" s="13"/>
      <c r="I605" s="13"/>
      <c r="J605" s="13"/>
      <c r="K605" s="13"/>
      <c r="L605" s="13"/>
      <c r="M605" s="13"/>
    </row>
    <row r="606">
      <c r="E606" s="13"/>
      <c r="F606" s="13"/>
      <c r="G606" s="13"/>
      <c r="H606" s="13"/>
      <c r="I606" s="13"/>
      <c r="J606" s="13"/>
      <c r="K606" s="13"/>
      <c r="L606" s="13"/>
      <c r="M606" s="13"/>
    </row>
    <row r="607">
      <c r="E607" s="13"/>
      <c r="F607" s="13"/>
      <c r="G607" s="13"/>
      <c r="H607" s="13"/>
      <c r="I607" s="13"/>
      <c r="J607" s="13"/>
      <c r="K607" s="13"/>
      <c r="L607" s="13"/>
      <c r="M607" s="13"/>
    </row>
    <row r="608">
      <c r="E608" s="13"/>
      <c r="F608" s="13"/>
      <c r="G608" s="13"/>
      <c r="H608" s="13"/>
      <c r="I608" s="13"/>
      <c r="J608" s="13"/>
      <c r="K608" s="13"/>
      <c r="L608" s="13"/>
      <c r="M608" s="13"/>
    </row>
    <row r="609">
      <c r="E609" s="13"/>
      <c r="F609" s="13"/>
      <c r="G609" s="13"/>
      <c r="H609" s="13"/>
      <c r="I609" s="13"/>
      <c r="J609" s="13"/>
      <c r="K609" s="13"/>
      <c r="L609" s="13"/>
      <c r="M609" s="13"/>
    </row>
    <row r="610">
      <c r="E610" s="13"/>
      <c r="F610" s="13"/>
      <c r="G610" s="13"/>
      <c r="H610" s="13"/>
      <c r="I610" s="13"/>
      <c r="J610" s="13"/>
      <c r="K610" s="13"/>
      <c r="L610" s="13"/>
      <c r="M610" s="13"/>
    </row>
    <row r="611">
      <c r="E611" s="13"/>
      <c r="F611" s="13"/>
      <c r="G611" s="13"/>
      <c r="H611" s="13"/>
      <c r="I611" s="13"/>
      <c r="J611" s="13"/>
      <c r="K611" s="13"/>
      <c r="L611" s="13"/>
      <c r="M611" s="13"/>
    </row>
    <row r="612">
      <c r="E612" s="13"/>
      <c r="F612" s="13"/>
      <c r="G612" s="13"/>
      <c r="H612" s="13"/>
      <c r="I612" s="13"/>
      <c r="J612" s="13"/>
      <c r="K612" s="13"/>
      <c r="L612" s="13"/>
      <c r="M612" s="13"/>
    </row>
    <row r="613">
      <c r="E613" s="13"/>
      <c r="F613" s="13"/>
      <c r="G613" s="13"/>
      <c r="H613" s="13"/>
      <c r="I613" s="13"/>
      <c r="J613" s="13"/>
      <c r="K613" s="13"/>
      <c r="L613" s="13"/>
      <c r="M613" s="13"/>
    </row>
    <row r="614">
      <c r="E614" s="13"/>
      <c r="F614" s="13"/>
      <c r="G614" s="13"/>
      <c r="H614" s="13"/>
      <c r="I614" s="13"/>
      <c r="J614" s="13"/>
      <c r="K614" s="13"/>
      <c r="L614" s="13"/>
      <c r="M614" s="13"/>
    </row>
    <row r="615">
      <c r="E615" s="13"/>
      <c r="F615" s="13"/>
      <c r="G615" s="13"/>
      <c r="H615" s="13"/>
      <c r="I615" s="13"/>
      <c r="J615" s="13"/>
      <c r="K615" s="13"/>
      <c r="L615" s="13"/>
      <c r="M615" s="13"/>
    </row>
    <row r="616">
      <c r="E616" s="13"/>
      <c r="F616" s="13"/>
      <c r="G616" s="13"/>
      <c r="H616" s="13"/>
      <c r="I616" s="13"/>
      <c r="J616" s="13"/>
      <c r="K616" s="13"/>
      <c r="L616" s="13"/>
      <c r="M616" s="13"/>
    </row>
    <row r="617">
      <c r="E617" s="13"/>
      <c r="F617" s="13"/>
      <c r="G617" s="13"/>
      <c r="H617" s="13"/>
      <c r="I617" s="13"/>
      <c r="J617" s="13"/>
      <c r="K617" s="13"/>
      <c r="L617" s="13"/>
      <c r="M617" s="13"/>
    </row>
    <row r="618">
      <c r="E618" s="13"/>
      <c r="F618" s="13"/>
      <c r="G618" s="13"/>
      <c r="H618" s="13"/>
      <c r="I618" s="13"/>
      <c r="J618" s="13"/>
      <c r="K618" s="13"/>
      <c r="L618" s="13"/>
      <c r="M618" s="13"/>
    </row>
    <row r="619">
      <c r="E619" s="13"/>
      <c r="F619" s="13"/>
      <c r="G619" s="13"/>
      <c r="H619" s="13"/>
      <c r="I619" s="13"/>
      <c r="J619" s="13"/>
      <c r="K619" s="13"/>
      <c r="L619" s="13"/>
      <c r="M619" s="13"/>
    </row>
    <row r="620">
      <c r="E620" s="13"/>
      <c r="F620" s="13"/>
      <c r="G620" s="13"/>
      <c r="H620" s="13"/>
      <c r="I620" s="13"/>
      <c r="J620" s="13"/>
      <c r="K620" s="13"/>
      <c r="L620" s="13"/>
      <c r="M620" s="13"/>
    </row>
    <row r="621">
      <c r="E621" s="13"/>
      <c r="F621" s="13"/>
      <c r="G621" s="13"/>
      <c r="H621" s="13"/>
      <c r="I621" s="13"/>
      <c r="J621" s="13"/>
      <c r="K621" s="13"/>
      <c r="L621" s="13"/>
      <c r="M621" s="13"/>
    </row>
    <row r="622">
      <c r="E622" s="13"/>
      <c r="F622" s="13"/>
      <c r="G622" s="13"/>
      <c r="H622" s="13"/>
      <c r="I622" s="13"/>
      <c r="J622" s="13"/>
      <c r="K622" s="13"/>
      <c r="L622" s="13"/>
      <c r="M622" s="13"/>
    </row>
    <row r="623">
      <c r="E623" s="13"/>
      <c r="F623" s="13"/>
      <c r="G623" s="13"/>
      <c r="H623" s="13"/>
      <c r="I623" s="13"/>
      <c r="J623" s="13"/>
      <c r="K623" s="13"/>
      <c r="L623" s="13"/>
      <c r="M623" s="13"/>
    </row>
    <row r="624">
      <c r="E624" s="13"/>
      <c r="F624" s="13"/>
      <c r="G624" s="13"/>
      <c r="H624" s="13"/>
      <c r="I624" s="13"/>
      <c r="J624" s="13"/>
      <c r="K624" s="13"/>
      <c r="L624" s="13"/>
      <c r="M624" s="13"/>
    </row>
    <row r="625">
      <c r="E625" s="13"/>
      <c r="F625" s="13"/>
      <c r="G625" s="13"/>
      <c r="H625" s="13"/>
      <c r="I625" s="13"/>
      <c r="J625" s="13"/>
      <c r="K625" s="13"/>
      <c r="L625" s="13"/>
      <c r="M625" s="13"/>
    </row>
    <row r="626">
      <c r="E626" s="13"/>
      <c r="F626" s="13"/>
      <c r="G626" s="13"/>
      <c r="H626" s="13"/>
      <c r="I626" s="13"/>
      <c r="J626" s="13"/>
      <c r="K626" s="13"/>
      <c r="L626" s="13"/>
      <c r="M626" s="13"/>
    </row>
    <row r="627">
      <c r="E627" s="13"/>
      <c r="F627" s="13"/>
      <c r="G627" s="13"/>
      <c r="H627" s="13"/>
      <c r="I627" s="13"/>
      <c r="J627" s="13"/>
      <c r="K627" s="13"/>
      <c r="L627" s="13"/>
      <c r="M627" s="13"/>
    </row>
    <row r="628">
      <c r="E628" s="13"/>
      <c r="F628" s="13"/>
      <c r="G628" s="13"/>
      <c r="H628" s="13"/>
      <c r="I628" s="13"/>
      <c r="J628" s="13"/>
      <c r="K628" s="13"/>
      <c r="L628" s="13"/>
      <c r="M628" s="13"/>
    </row>
    <row r="629">
      <c r="E629" s="13"/>
      <c r="F629" s="13"/>
      <c r="G629" s="13"/>
      <c r="H629" s="13"/>
      <c r="I629" s="13"/>
      <c r="J629" s="13"/>
      <c r="K629" s="13"/>
      <c r="L629" s="13"/>
      <c r="M629" s="13"/>
    </row>
    <row r="630">
      <c r="E630" s="13"/>
      <c r="F630" s="13"/>
      <c r="G630" s="13"/>
      <c r="H630" s="13"/>
      <c r="I630" s="13"/>
      <c r="J630" s="13"/>
      <c r="K630" s="13"/>
      <c r="L630" s="13"/>
      <c r="M630" s="13"/>
    </row>
    <row r="631">
      <c r="E631" s="13"/>
      <c r="F631" s="13"/>
      <c r="G631" s="13"/>
      <c r="H631" s="13"/>
      <c r="I631" s="13"/>
      <c r="J631" s="13"/>
      <c r="K631" s="13"/>
      <c r="L631" s="13"/>
      <c r="M631" s="13"/>
    </row>
    <row r="632">
      <c r="E632" s="13"/>
      <c r="F632" s="13"/>
      <c r="G632" s="13"/>
      <c r="H632" s="13"/>
      <c r="I632" s="13"/>
      <c r="J632" s="13"/>
      <c r="K632" s="13"/>
      <c r="L632" s="13"/>
      <c r="M632" s="13"/>
    </row>
    <row r="633">
      <c r="E633" s="13"/>
      <c r="F633" s="13"/>
      <c r="G633" s="13"/>
      <c r="H633" s="13"/>
      <c r="I633" s="13"/>
      <c r="J633" s="13"/>
      <c r="K633" s="13"/>
      <c r="L633" s="13"/>
      <c r="M633" s="13"/>
    </row>
    <row r="634">
      <c r="E634" s="13"/>
      <c r="F634" s="13"/>
      <c r="G634" s="13"/>
      <c r="H634" s="13"/>
      <c r="I634" s="13"/>
      <c r="J634" s="13"/>
      <c r="K634" s="13"/>
      <c r="L634" s="13"/>
      <c r="M634" s="13"/>
    </row>
    <row r="635">
      <c r="E635" s="13"/>
      <c r="F635" s="13"/>
      <c r="G635" s="13"/>
      <c r="H635" s="13"/>
      <c r="I635" s="13"/>
      <c r="J635" s="13"/>
      <c r="K635" s="13"/>
      <c r="L635" s="13"/>
      <c r="M635" s="13"/>
    </row>
    <row r="636">
      <c r="E636" s="13"/>
      <c r="F636" s="13"/>
      <c r="G636" s="13"/>
      <c r="H636" s="13"/>
      <c r="I636" s="13"/>
      <c r="J636" s="13"/>
      <c r="K636" s="13"/>
      <c r="L636" s="13"/>
      <c r="M636" s="13"/>
    </row>
    <row r="637">
      <c r="E637" s="13"/>
      <c r="F637" s="13"/>
      <c r="G637" s="13"/>
      <c r="H637" s="13"/>
      <c r="I637" s="13"/>
      <c r="J637" s="13"/>
      <c r="K637" s="13"/>
      <c r="L637" s="13"/>
      <c r="M637" s="13"/>
    </row>
    <row r="638">
      <c r="E638" s="13"/>
      <c r="F638" s="13"/>
      <c r="G638" s="13"/>
      <c r="H638" s="13"/>
      <c r="I638" s="13"/>
      <c r="J638" s="13"/>
      <c r="K638" s="13"/>
      <c r="L638" s="13"/>
      <c r="M638" s="13"/>
    </row>
    <row r="639">
      <c r="E639" s="13"/>
      <c r="F639" s="13"/>
      <c r="G639" s="13"/>
      <c r="H639" s="13"/>
      <c r="I639" s="13"/>
      <c r="J639" s="13"/>
      <c r="K639" s="13"/>
      <c r="L639" s="13"/>
      <c r="M639" s="13"/>
    </row>
    <row r="640">
      <c r="E640" s="13"/>
      <c r="F640" s="13"/>
      <c r="G640" s="13"/>
      <c r="H640" s="13"/>
      <c r="I640" s="13"/>
      <c r="J640" s="13"/>
      <c r="K640" s="13"/>
      <c r="L640" s="13"/>
      <c r="M640" s="13"/>
    </row>
    <row r="641">
      <c r="E641" s="13"/>
      <c r="F641" s="13"/>
      <c r="G641" s="13"/>
      <c r="H641" s="13"/>
      <c r="I641" s="13"/>
      <c r="J641" s="13"/>
      <c r="K641" s="13"/>
      <c r="L641" s="13"/>
      <c r="M641" s="13"/>
    </row>
    <row r="642">
      <c r="E642" s="13"/>
      <c r="F642" s="13"/>
      <c r="G642" s="13"/>
      <c r="H642" s="13"/>
      <c r="I642" s="13"/>
      <c r="J642" s="13"/>
      <c r="K642" s="13"/>
      <c r="L642" s="13"/>
      <c r="M642" s="13"/>
    </row>
    <row r="643">
      <c r="E643" s="13"/>
      <c r="F643" s="13"/>
      <c r="G643" s="13"/>
      <c r="H643" s="13"/>
      <c r="I643" s="13"/>
      <c r="J643" s="13"/>
      <c r="K643" s="13"/>
      <c r="L643" s="13"/>
      <c r="M643" s="13"/>
    </row>
    <row r="644">
      <c r="E644" s="13"/>
      <c r="F644" s="13"/>
      <c r="G644" s="13"/>
      <c r="H644" s="13"/>
      <c r="I644" s="13"/>
      <c r="J644" s="13"/>
      <c r="K644" s="13"/>
      <c r="L644" s="13"/>
      <c r="M644" s="13"/>
    </row>
    <row r="645">
      <c r="E645" s="13"/>
      <c r="F645" s="13"/>
      <c r="G645" s="13"/>
      <c r="H645" s="13"/>
      <c r="I645" s="13"/>
      <c r="J645" s="13"/>
      <c r="K645" s="13"/>
      <c r="L645" s="13"/>
      <c r="M645" s="13"/>
    </row>
    <row r="646">
      <c r="E646" s="13"/>
      <c r="F646" s="13"/>
      <c r="G646" s="13"/>
      <c r="H646" s="13"/>
      <c r="I646" s="13"/>
      <c r="J646" s="13"/>
      <c r="K646" s="13"/>
      <c r="L646" s="13"/>
      <c r="M646" s="13"/>
    </row>
    <row r="647">
      <c r="E647" s="13"/>
      <c r="F647" s="13"/>
      <c r="G647" s="13"/>
      <c r="H647" s="13"/>
      <c r="I647" s="13"/>
      <c r="J647" s="13"/>
      <c r="K647" s="13"/>
      <c r="L647" s="13"/>
      <c r="M647" s="13"/>
    </row>
    <row r="648">
      <c r="E648" s="13"/>
      <c r="F648" s="13"/>
      <c r="G648" s="13"/>
      <c r="H648" s="13"/>
      <c r="I648" s="13"/>
      <c r="J648" s="13"/>
      <c r="K648" s="13"/>
      <c r="L648" s="13"/>
      <c r="M648" s="13"/>
    </row>
    <row r="649">
      <c r="E649" s="13"/>
      <c r="F649" s="13"/>
      <c r="G649" s="13"/>
      <c r="H649" s="13"/>
      <c r="I649" s="13"/>
      <c r="J649" s="13"/>
      <c r="K649" s="13"/>
      <c r="L649" s="13"/>
      <c r="M649" s="13"/>
    </row>
    <row r="650">
      <c r="E650" s="13"/>
      <c r="F650" s="13"/>
      <c r="G650" s="13"/>
      <c r="H650" s="13"/>
      <c r="I650" s="13"/>
      <c r="J650" s="13"/>
      <c r="K650" s="13"/>
      <c r="L650" s="13"/>
      <c r="M650" s="13"/>
    </row>
    <row r="651">
      <c r="E651" s="13"/>
      <c r="F651" s="13"/>
      <c r="G651" s="13"/>
      <c r="H651" s="13"/>
      <c r="I651" s="13"/>
      <c r="J651" s="13"/>
      <c r="K651" s="13"/>
      <c r="L651" s="13"/>
      <c r="M651" s="13"/>
    </row>
    <row r="652">
      <c r="E652" s="13"/>
      <c r="F652" s="13"/>
      <c r="G652" s="13"/>
      <c r="H652" s="13"/>
      <c r="I652" s="13"/>
      <c r="J652" s="13"/>
      <c r="K652" s="13"/>
      <c r="L652" s="13"/>
      <c r="M652" s="13"/>
    </row>
    <row r="653">
      <c r="E653" s="13"/>
      <c r="F653" s="13"/>
      <c r="G653" s="13"/>
      <c r="H653" s="13"/>
      <c r="I653" s="13"/>
      <c r="J653" s="13"/>
      <c r="K653" s="13"/>
      <c r="L653" s="13"/>
      <c r="M653" s="13"/>
    </row>
    <row r="654">
      <c r="E654" s="13"/>
      <c r="F654" s="13"/>
      <c r="G654" s="13"/>
      <c r="H654" s="13"/>
      <c r="I654" s="13"/>
      <c r="J654" s="13"/>
      <c r="K654" s="13"/>
      <c r="L654" s="13"/>
      <c r="M654" s="13"/>
    </row>
    <row r="655">
      <c r="E655" s="13"/>
      <c r="F655" s="13"/>
      <c r="G655" s="13"/>
      <c r="H655" s="13"/>
      <c r="I655" s="13"/>
      <c r="J655" s="13"/>
      <c r="K655" s="13"/>
      <c r="L655" s="13"/>
      <c r="M655" s="13"/>
    </row>
    <row r="656">
      <c r="E656" s="13"/>
      <c r="F656" s="13"/>
      <c r="G656" s="13"/>
      <c r="H656" s="13"/>
      <c r="I656" s="13"/>
      <c r="J656" s="13"/>
      <c r="K656" s="13"/>
      <c r="L656" s="13"/>
      <c r="M656" s="13"/>
    </row>
    <row r="657">
      <c r="E657" s="13"/>
      <c r="F657" s="13"/>
      <c r="G657" s="13"/>
      <c r="H657" s="13"/>
      <c r="I657" s="13"/>
      <c r="J657" s="13"/>
      <c r="K657" s="13"/>
      <c r="L657" s="13"/>
      <c r="M657" s="13"/>
    </row>
    <row r="658">
      <c r="E658" s="13"/>
      <c r="F658" s="13"/>
      <c r="G658" s="13"/>
      <c r="H658" s="13"/>
      <c r="I658" s="13"/>
      <c r="J658" s="13"/>
      <c r="K658" s="13"/>
      <c r="L658" s="13"/>
      <c r="M658" s="13"/>
    </row>
    <row r="659">
      <c r="E659" s="13"/>
      <c r="F659" s="13"/>
      <c r="G659" s="13"/>
      <c r="H659" s="13"/>
      <c r="I659" s="13"/>
      <c r="J659" s="13"/>
      <c r="K659" s="13"/>
      <c r="L659" s="13"/>
      <c r="M659" s="13"/>
    </row>
    <row r="660">
      <c r="E660" s="13"/>
      <c r="F660" s="13"/>
      <c r="G660" s="13"/>
      <c r="H660" s="13"/>
      <c r="I660" s="13"/>
      <c r="J660" s="13"/>
      <c r="K660" s="13"/>
      <c r="L660" s="13"/>
      <c r="M660" s="13"/>
    </row>
    <row r="661">
      <c r="E661" s="13"/>
      <c r="F661" s="13"/>
      <c r="G661" s="13"/>
      <c r="H661" s="13"/>
      <c r="I661" s="13"/>
      <c r="J661" s="13"/>
      <c r="K661" s="13"/>
      <c r="L661" s="13"/>
      <c r="M661" s="13"/>
    </row>
    <row r="662">
      <c r="E662" s="13"/>
      <c r="F662" s="13"/>
      <c r="G662" s="13"/>
      <c r="H662" s="13"/>
      <c r="I662" s="13"/>
      <c r="J662" s="13"/>
      <c r="K662" s="13"/>
      <c r="L662" s="13"/>
      <c r="M662" s="13"/>
    </row>
    <row r="663">
      <c r="E663" s="13"/>
      <c r="F663" s="13"/>
      <c r="G663" s="13"/>
      <c r="H663" s="13"/>
      <c r="I663" s="13"/>
      <c r="J663" s="13"/>
      <c r="K663" s="13"/>
      <c r="L663" s="13"/>
      <c r="M663" s="13"/>
    </row>
    <row r="664">
      <c r="E664" s="13"/>
      <c r="F664" s="13"/>
      <c r="G664" s="13"/>
      <c r="H664" s="13"/>
      <c r="I664" s="13"/>
      <c r="J664" s="13"/>
      <c r="K664" s="13"/>
      <c r="L664" s="13"/>
      <c r="M664" s="13"/>
    </row>
    <row r="665">
      <c r="E665" s="13"/>
      <c r="F665" s="13"/>
      <c r="G665" s="13"/>
      <c r="H665" s="13"/>
      <c r="I665" s="13"/>
      <c r="J665" s="13"/>
      <c r="K665" s="13"/>
      <c r="L665" s="13"/>
      <c r="M665" s="13"/>
    </row>
    <row r="666">
      <c r="E666" s="13"/>
      <c r="F666" s="13"/>
      <c r="G666" s="13"/>
      <c r="H666" s="13"/>
      <c r="I666" s="13"/>
      <c r="J666" s="13"/>
      <c r="K666" s="13"/>
      <c r="L666" s="13"/>
      <c r="M666" s="13"/>
    </row>
    <row r="667">
      <c r="E667" s="13"/>
      <c r="F667" s="13"/>
      <c r="G667" s="13"/>
      <c r="H667" s="13"/>
      <c r="I667" s="13"/>
      <c r="J667" s="13"/>
      <c r="K667" s="13"/>
      <c r="L667" s="13"/>
      <c r="M667" s="13"/>
    </row>
    <row r="668">
      <c r="E668" s="13"/>
      <c r="F668" s="13"/>
      <c r="G668" s="13"/>
      <c r="H668" s="13"/>
      <c r="I668" s="13"/>
      <c r="J668" s="13"/>
      <c r="K668" s="13"/>
      <c r="L668" s="13"/>
      <c r="M668" s="13"/>
    </row>
    <row r="669">
      <c r="E669" s="13"/>
      <c r="F669" s="13"/>
      <c r="G669" s="13"/>
      <c r="H669" s="13"/>
      <c r="I669" s="13"/>
      <c r="J669" s="13"/>
      <c r="K669" s="13"/>
      <c r="L669" s="13"/>
      <c r="M669" s="13"/>
    </row>
    <row r="670">
      <c r="E670" s="13"/>
      <c r="F670" s="13"/>
      <c r="G670" s="13"/>
      <c r="H670" s="13"/>
      <c r="I670" s="13"/>
      <c r="J670" s="13"/>
      <c r="K670" s="13"/>
      <c r="L670" s="13"/>
      <c r="M670" s="13"/>
    </row>
    <row r="671">
      <c r="E671" s="13"/>
      <c r="F671" s="13"/>
      <c r="G671" s="13"/>
      <c r="H671" s="13"/>
      <c r="I671" s="13"/>
      <c r="J671" s="13"/>
      <c r="K671" s="13"/>
      <c r="L671" s="13"/>
      <c r="M671" s="13"/>
    </row>
    <row r="672">
      <c r="E672" s="13"/>
      <c r="F672" s="13"/>
      <c r="G672" s="13"/>
      <c r="H672" s="13"/>
      <c r="I672" s="13"/>
      <c r="J672" s="13"/>
      <c r="K672" s="13"/>
      <c r="L672" s="13"/>
      <c r="M672" s="13"/>
    </row>
    <row r="673">
      <c r="E673" s="13"/>
      <c r="F673" s="13"/>
      <c r="G673" s="13"/>
      <c r="H673" s="13"/>
      <c r="I673" s="13"/>
      <c r="J673" s="13"/>
      <c r="K673" s="13"/>
      <c r="L673" s="13"/>
      <c r="M673" s="13"/>
    </row>
    <row r="674">
      <c r="E674" s="13"/>
      <c r="F674" s="13"/>
      <c r="G674" s="13"/>
      <c r="H674" s="13"/>
      <c r="I674" s="13"/>
      <c r="J674" s="13"/>
      <c r="K674" s="13"/>
      <c r="L674" s="13"/>
      <c r="M674" s="13"/>
    </row>
    <row r="675">
      <c r="E675" s="13"/>
      <c r="F675" s="13"/>
      <c r="G675" s="13"/>
      <c r="H675" s="13"/>
      <c r="I675" s="13"/>
      <c r="J675" s="13"/>
      <c r="K675" s="13"/>
      <c r="L675" s="13"/>
      <c r="M675" s="13"/>
    </row>
    <row r="676">
      <c r="E676" s="13"/>
      <c r="F676" s="13"/>
      <c r="G676" s="13"/>
      <c r="H676" s="13"/>
      <c r="I676" s="13"/>
      <c r="J676" s="13"/>
      <c r="K676" s="13"/>
      <c r="L676" s="13"/>
      <c r="M676" s="13"/>
    </row>
    <row r="677">
      <c r="E677" s="13"/>
      <c r="F677" s="13"/>
      <c r="G677" s="13"/>
      <c r="H677" s="13"/>
      <c r="I677" s="13"/>
      <c r="J677" s="13"/>
      <c r="K677" s="13"/>
      <c r="L677" s="13"/>
      <c r="M677" s="13"/>
    </row>
    <row r="678">
      <c r="E678" s="13"/>
      <c r="F678" s="13"/>
      <c r="G678" s="13"/>
      <c r="H678" s="13"/>
      <c r="I678" s="13"/>
      <c r="J678" s="13"/>
      <c r="K678" s="13"/>
      <c r="L678" s="13"/>
      <c r="M678" s="13"/>
    </row>
    <row r="679">
      <c r="E679" s="13"/>
      <c r="F679" s="13"/>
      <c r="G679" s="13"/>
      <c r="H679" s="13"/>
      <c r="I679" s="13"/>
      <c r="J679" s="13"/>
      <c r="K679" s="13"/>
      <c r="L679" s="13"/>
      <c r="M679" s="13"/>
    </row>
    <row r="680">
      <c r="E680" s="13"/>
      <c r="F680" s="13"/>
      <c r="G680" s="13"/>
      <c r="H680" s="13"/>
      <c r="I680" s="13"/>
      <c r="J680" s="13"/>
      <c r="K680" s="13"/>
      <c r="L680" s="13"/>
      <c r="M680" s="13"/>
    </row>
    <row r="681">
      <c r="E681" s="13"/>
      <c r="F681" s="13"/>
      <c r="G681" s="13"/>
      <c r="H681" s="13"/>
      <c r="I681" s="13"/>
      <c r="J681" s="13"/>
      <c r="K681" s="13"/>
      <c r="L681" s="13"/>
      <c r="M681" s="13"/>
    </row>
    <row r="682">
      <c r="E682" s="13"/>
      <c r="F682" s="13"/>
      <c r="G682" s="13"/>
      <c r="H682" s="13"/>
      <c r="I682" s="13"/>
      <c r="J682" s="13"/>
      <c r="K682" s="13"/>
      <c r="L682" s="13"/>
      <c r="M682" s="13"/>
    </row>
    <row r="683">
      <c r="E683" s="13"/>
      <c r="F683" s="13"/>
      <c r="G683" s="13"/>
      <c r="H683" s="13"/>
      <c r="I683" s="13"/>
      <c r="J683" s="13"/>
      <c r="K683" s="13"/>
      <c r="L683" s="13"/>
      <c r="M683" s="13"/>
    </row>
    <row r="684">
      <c r="E684" s="13"/>
      <c r="F684" s="13"/>
      <c r="G684" s="13"/>
      <c r="H684" s="13"/>
      <c r="I684" s="13"/>
      <c r="J684" s="13"/>
      <c r="K684" s="13"/>
      <c r="L684" s="13"/>
      <c r="M684" s="13"/>
    </row>
    <row r="685">
      <c r="E685" s="13"/>
      <c r="F685" s="13"/>
      <c r="G685" s="13"/>
      <c r="H685" s="13"/>
      <c r="I685" s="13"/>
      <c r="J685" s="13"/>
      <c r="K685" s="13"/>
      <c r="L685" s="13"/>
      <c r="M685" s="13"/>
    </row>
    <row r="686">
      <c r="E686" s="13"/>
      <c r="F686" s="13"/>
      <c r="G686" s="13"/>
      <c r="H686" s="13"/>
      <c r="I686" s="13"/>
      <c r="J686" s="13"/>
      <c r="K686" s="13"/>
      <c r="L686" s="13"/>
      <c r="M686" s="13"/>
    </row>
    <row r="687">
      <c r="E687" s="13"/>
      <c r="F687" s="13"/>
      <c r="G687" s="13"/>
      <c r="H687" s="13"/>
      <c r="I687" s="13"/>
      <c r="J687" s="13"/>
      <c r="K687" s="13"/>
      <c r="L687" s="13"/>
      <c r="M687" s="13"/>
    </row>
    <row r="688">
      <c r="E688" s="13"/>
      <c r="F688" s="13"/>
      <c r="G688" s="13"/>
      <c r="H688" s="13"/>
      <c r="I688" s="13"/>
      <c r="J688" s="13"/>
      <c r="K688" s="13"/>
      <c r="L688" s="13"/>
      <c r="M688" s="13"/>
    </row>
    <row r="689">
      <c r="E689" s="13"/>
      <c r="F689" s="13"/>
      <c r="G689" s="13"/>
      <c r="H689" s="13"/>
      <c r="I689" s="13"/>
      <c r="J689" s="13"/>
      <c r="K689" s="13"/>
      <c r="L689" s="13"/>
      <c r="M689" s="13"/>
    </row>
    <row r="690">
      <c r="E690" s="13"/>
      <c r="F690" s="13"/>
      <c r="G690" s="13"/>
      <c r="H690" s="13"/>
      <c r="I690" s="13"/>
      <c r="J690" s="13"/>
      <c r="K690" s="13"/>
      <c r="L690" s="13"/>
      <c r="M690" s="13"/>
    </row>
    <row r="691">
      <c r="E691" s="13"/>
      <c r="F691" s="13"/>
      <c r="G691" s="13"/>
      <c r="H691" s="13"/>
      <c r="I691" s="13"/>
      <c r="J691" s="13"/>
      <c r="K691" s="13"/>
      <c r="L691" s="13"/>
      <c r="M691" s="13"/>
    </row>
    <row r="692">
      <c r="E692" s="13"/>
      <c r="F692" s="13"/>
      <c r="G692" s="13"/>
      <c r="H692" s="13"/>
      <c r="I692" s="13"/>
      <c r="J692" s="13"/>
      <c r="K692" s="13"/>
      <c r="L692" s="13"/>
      <c r="M692" s="13"/>
    </row>
    <row r="693">
      <c r="E693" s="13"/>
      <c r="F693" s="13"/>
      <c r="G693" s="13"/>
      <c r="H693" s="13"/>
      <c r="I693" s="13"/>
      <c r="J693" s="13"/>
      <c r="K693" s="13"/>
      <c r="L693" s="13"/>
      <c r="M693" s="13"/>
    </row>
    <row r="694">
      <c r="E694" s="13"/>
      <c r="F694" s="13"/>
      <c r="G694" s="13"/>
      <c r="H694" s="13"/>
      <c r="I694" s="13"/>
      <c r="J694" s="13"/>
      <c r="K694" s="13"/>
      <c r="L694" s="13"/>
      <c r="M694" s="13"/>
    </row>
    <row r="695">
      <c r="E695" s="13"/>
      <c r="F695" s="13"/>
      <c r="G695" s="13"/>
      <c r="H695" s="13"/>
      <c r="I695" s="13"/>
      <c r="J695" s="13"/>
      <c r="K695" s="13"/>
      <c r="L695" s="13"/>
      <c r="M695" s="13"/>
    </row>
    <row r="696">
      <c r="E696" s="13"/>
      <c r="F696" s="13"/>
      <c r="G696" s="13"/>
      <c r="H696" s="13"/>
      <c r="I696" s="13"/>
      <c r="J696" s="13"/>
      <c r="K696" s="13"/>
      <c r="L696" s="13"/>
      <c r="M696" s="13"/>
    </row>
    <row r="697">
      <c r="E697" s="13"/>
      <c r="F697" s="13"/>
      <c r="G697" s="13"/>
      <c r="H697" s="13"/>
      <c r="I697" s="13"/>
      <c r="J697" s="13"/>
      <c r="K697" s="13"/>
      <c r="L697" s="13"/>
      <c r="M697" s="13"/>
    </row>
    <row r="698">
      <c r="E698" s="13"/>
      <c r="F698" s="13"/>
      <c r="G698" s="13"/>
      <c r="H698" s="13"/>
      <c r="I698" s="13"/>
      <c r="J698" s="13"/>
      <c r="K698" s="13"/>
      <c r="L698" s="13"/>
      <c r="M698" s="13"/>
    </row>
    <row r="699">
      <c r="E699" s="13"/>
      <c r="F699" s="13"/>
      <c r="G699" s="13"/>
      <c r="H699" s="13"/>
      <c r="I699" s="13"/>
      <c r="J699" s="13"/>
      <c r="K699" s="13"/>
      <c r="L699" s="13"/>
      <c r="M699" s="13"/>
    </row>
    <row r="700">
      <c r="E700" s="13"/>
      <c r="F700" s="13"/>
      <c r="G700" s="13"/>
      <c r="H700" s="13"/>
      <c r="I700" s="13"/>
      <c r="J700" s="13"/>
      <c r="K700" s="13"/>
      <c r="L700" s="13"/>
      <c r="M700" s="13"/>
    </row>
    <row r="701">
      <c r="E701" s="13"/>
      <c r="F701" s="13"/>
      <c r="G701" s="13"/>
      <c r="H701" s="13"/>
      <c r="I701" s="13"/>
      <c r="J701" s="13"/>
      <c r="K701" s="13"/>
      <c r="L701" s="13"/>
      <c r="M701" s="13"/>
    </row>
    <row r="702">
      <c r="E702" s="13"/>
      <c r="F702" s="13"/>
      <c r="G702" s="13"/>
      <c r="H702" s="13"/>
      <c r="I702" s="13"/>
      <c r="J702" s="13"/>
      <c r="K702" s="13"/>
      <c r="L702" s="13"/>
      <c r="M702" s="13"/>
    </row>
    <row r="703">
      <c r="E703" s="13"/>
      <c r="F703" s="13"/>
      <c r="G703" s="13"/>
      <c r="H703" s="13"/>
      <c r="I703" s="13"/>
      <c r="J703" s="13"/>
      <c r="K703" s="13"/>
      <c r="L703" s="13"/>
      <c r="M703" s="13"/>
    </row>
    <row r="704">
      <c r="E704" s="13"/>
      <c r="F704" s="13"/>
      <c r="G704" s="13"/>
      <c r="H704" s="13"/>
      <c r="I704" s="13"/>
      <c r="J704" s="13"/>
      <c r="K704" s="13"/>
      <c r="L704" s="13"/>
      <c r="M704" s="13"/>
    </row>
    <row r="705">
      <c r="E705" s="13"/>
      <c r="F705" s="13"/>
      <c r="G705" s="13"/>
      <c r="H705" s="13"/>
      <c r="I705" s="13"/>
      <c r="J705" s="13"/>
      <c r="K705" s="13"/>
      <c r="L705" s="13"/>
      <c r="M705" s="13"/>
    </row>
    <row r="706">
      <c r="E706" s="13"/>
      <c r="F706" s="13"/>
      <c r="G706" s="13"/>
      <c r="H706" s="13"/>
      <c r="I706" s="13"/>
      <c r="J706" s="13"/>
      <c r="K706" s="13"/>
      <c r="L706" s="13"/>
      <c r="M706" s="13"/>
    </row>
    <row r="707">
      <c r="E707" s="13"/>
      <c r="F707" s="13"/>
      <c r="G707" s="13"/>
      <c r="H707" s="13"/>
      <c r="I707" s="13"/>
      <c r="J707" s="13"/>
      <c r="K707" s="13"/>
      <c r="L707" s="13"/>
      <c r="M707" s="13"/>
    </row>
    <row r="708">
      <c r="E708" s="13"/>
      <c r="F708" s="13"/>
      <c r="G708" s="13"/>
      <c r="H708" s="13"/>
      <c r="I708" s="13"/>
      <c r="J708" s="13"/>
      <c r="K708" s="13"/>
      <c r="L708" s="13"/>
      <c r="M708" s="13"/>
    </row>
    <row r="709">
      <c r="E709" s="13"/>
      <c r="F709" s="13"/>
      <c r="G709" s="13"/>
      <c r="H709" s="13"/>
      <c r="I709" s="13"/>
      <c r="J709" s="13"/>
      <c r="K709" s="13"/>
      <c r="L709" s="13"/>
      <c r="M709" s="13"/>
    </row>
    <row r="710">
      <c r="E710" s="13"/>
      <c r="F710" s="13"/>
      <c r="G710" s="13"/>
      <c r="H710" s="13"/>
      <c r="I710" s="13"/>
      <c r="J710" s="13"/>
      <c r="K710" s="13"/>
      <c r="L710" s="13"/>
      <c r="M710" s="13"/>
    </row>
    <row r="711">
      <c r="E711" s="13"/>
      <c r="F711" s="13"/>
      <c r="G711" s="13"/>
      <c r="H711" s="13"/>
      <c r="I711" s="13"/>
      <c r="J711" s="13"/>
      <c r="K711" s="13"/>
      <c r="L711" s="13"/>
      <c r="M711" s="13"/>
    </row>
    <row r="712">
      <c r="E712" s="13"/>
      <c r="F712" s="13"/>
      <c r="G712" s="13"/>
      <c r="H712" s="13"/>
      <c r="I712" s="13"/>
      <c r="J712" s="13"/>
      <c r="K712" s="13"/>
      <c r="L712" s="13"/>
      <c r="M712" s="13"/>
    </row>
    <row r="713">
      <c r="E713" s="13"/>
      <c r="F713" s="13"/>
      <c r="G713" s="13"/>
      <c r="H713" s="13"/>
      <c r="I713" s="13"/>
      <c r="J713" s="13"/>
      <c r="K713" s="13"/>
      <c r="L713" s="13"/>
      <c r="M713" s="13"/>
    </row>
    <row r="714">
      <c r="E714" s="13"/>
      <c r="F714" s="13"/>
      <c r="G714" s="13"/>
      <c r="H714" s="13"/>
      <c r="I714" s="13"/>
      <c r="J714" s="13"/>
      <c r="K714" s="13"/>
      <c r="L714" s="13"/>
      <c r="M714" s="13"/>
    </row>
    <row r="715">
      <c r="E715" s="13"/>
      <c r="F715" s="13"/>
      <c r="G715" s="13"/>
      <c r="H715" s="13"/>
      <c r="I715" s="13"/>
      <c r="J715" s="13"/>
      <c r="K715" s="13"/>
      <c r="L715" s="13"/>
      <c r="M715" s="13"/>
    </row>
    <row r="716">
      <c r="E716" s="13"/>
      <c r="F716" s="13"/>
      <c r="G716" s="13"/>
      <c r="H716" s="13"/>
      <c r="I716" s="13"/>
      <c r="J716" s="13"/>
      <c r="K716" s="13"/>
      <c r="L716" s="13"/>
      <c r="M716" s="13"/>
    </row>
    <row r="717">
      <c r="E717" s="13"/>
      <c r="F717" s="13"/>
      <c r="G717" s="13"/>
      <c r="H717" s="13"/>
      <c r="I717" s="13"/>
      <c r="J717" s="13"/>
      <c r="K717" s="13"/>
      <c r="L717" s="13"/>
      <c r="M717" s="13"/>
    </row>
    <row r="718">
      <c r="E718" s="13"/>
      <c r="F718" s="13"/>
      <c r="G718" s="13"/>
      <c r="H718" s="13"/>
      <c r="I718" s="13"/>
      <c r="J718" s="13"/>
      <c r="K718" s="13"/>
      <c r="L718" s="13"/>
      <c r="M718" s="13"/>
    </row>
    <row r="719">
      <c r="E719" s="13"/>
      <c r="F719" s="13"/>
      <c r="G719" s="13"/>
      <c r="H719" s="13"/>
      <c r="I719" s="13"/>
      <c r="J719" s="13"/>
      <c r="K719" s="13"/>
      <c r="L719" s="13"/>
      <c r="M719" s="13"/>
    </row>
    <row r="720">
      <c r="E720" s="13"/>
      <c r="F720" s="13"/>
      <c r="G720" s="13"/>
      <c r="H720" s="13"/>
      <c r="I720" s="13"/>
      <c r="J720" s="13"/>
      <c r="K720" s="13"/>
      <c r="L720" s="13"/>
      <c r="M720" s="13"/>
    </row>
    <row r="721">
      <c r="E721" s="13"/>
      <c r="F721" s="13"/>
      <c r="G721" s="13"/>
      <c r="H721" s="13"/>
      <c r="I721" s="13"/>
      <c r="J721" s="13"/>
      <c r="K721" s="13"/>
      <c r="L721" s="13"/>
      <c r="M721" s="13"/>
    </row>
    <row r="722">
      <c r="E722" s="13"/>
      <c r="F722" s="13"/>
      <c r="G722" s="13"/>
      <c r="H722" s="13"/>
      <c r="I722" s="13"/>
      <c r="J722" s="13"/>
      <c r="K722" s="13"/>
      <c r="L722" s="13"/>
      <c r="M722" s="13"/>
    </row>
    <row r="723">
      <c r="E723" s="13"/>
      <c r="F723" s="13"/>
      <c r="G723" s="13"/>
      <c r="H723" s="13"/>
      <c r="I723" s="13"/>
      <c r="J723" s="13"/>
      <c r="K723" s="13"/>
      <c r="L723" s="13"/>
      <c r="M723" s="13"/>
    </row>
    <row r="724">
      <c r="E724" s="13"/>
      <c r="F724" s="13"/>
      <c r="G724" s="13"/>
      <c r="H724" s="13"/>
      <c r="I724" s="13"/>
      <c r="J724" s="13"/>
      <c r="K724" s="13"/>
      <c r="L724" s="13"/>
      <c r="M724" s="13"/>
    </row>
    <row r="725">
      <c r="E725" s="13"/>
      <c r="F725" s="13"/>
      <c r="G725" s="13"/>
      <c r="H725" s="13"/>
      <c r="I725" s="13"/>
      <c r="J725" s="13"/>
      <c r="K725" s="13"/>
      <c r="L725" s="13"/>
      <c r="M725" s="13"/>
    </row>
    <row r="726">
      <c r="E726" s="13"/>
      <c r="F726" s="13"/>
      <c r="G726" s="13"/>
      <c r="H726" s="13"/>
      <c r="I726" s="13"/>
      <c r="J726" s="13"/>
      <c r="K726" s="13"/>
      <c r="L726" s="13"/>
      <c r="M726" s="13"/>
    </row>
    <row r="727">
      <c r="E727" s="13"/>
      <c r="F727" s="13"/>
      <c r="G727" s="13"/>
      <c r="H727" s="13"/>
      <c r="I727" s="13"/>
      <c r="J727" s="13"/>
      <c r="K727" s="13"/>
      <c r="L727" s="13"/>
      <c r="M727" s="13"/>
    </row>
    <row r="728">
      <c r="E728" s="13"/>
      <c r="F728" s="13"/>
      <c r="G728" s="13"/>
      <c r="H728" s="13"/>
      <c r="I728" s="13"/>
      <c r="J728" s="13"/>
      <c r="K728" s="13"/>
      <c r="L728" s="13"/>
      <c r="M728" s="13"/>
    </row>
    <row r="729">
      <c r="E729" s="13"/>
      <c r="F729" s="13"/>
      <c r="G729" s="13"/>
      <c r="H729" s="13"/>
      <c r="I729" s="13"/>
      <c r="J729" s="13"/>
      <c r="K729" s="13"/>
      <c r="L729" s="13"/>
      <c r="M729" s="13"/>
    </row>
    <row r="730">
      <c r="E730" s="13"/>
      <c r="F730" s="13"/>
      <c r="G730" s="13"/>
      <c r="H730" s="13"/>
      <c r="I730" s="13"/>
      <c r="J730" s="13"/>
      <c r="K730" s="13"/>
      <c r="L730" s="13"/>
      <c r="M730" s="13"/>
    </row>
    <row r="731">
      <c r="E731" s="13"/>
      <c r="F731" s="13"/>
      <c r="G731" s="13"/>
      <c r="H731" s="13"/>
      <c r="I731" s="13"/>
      <c r="J731" s="13"/>
      <c r="K731" s="13"/>
      <c r="L731" s="13"/>
      <c r="M731" s="13"/>
    </row>
    <row r="732">
      <c r="E732" s="13"/>
      <c r="F732" s="13"/>
      <c r="G732" s="13"/>
      <c r="H732" s="13"/>
      <c r="I732" s="13"/>
      <c r="J732" s="13"/>
      <c r="K732" s="13"/>
      <c r="L732" s="13"/>
      <c r="M732" s="13"/>
    </row>
    <row r="733">
      <c r="E733" s="13"/>
      <c r="F733" s="13"/>
      <c r="G733" s="13"/>
      <c r="H733" s="13"/>
      <c r="I733" s="13"/>
      <c r="J733" s="13"/>
      <c r="K733" s="13"/>
      <c r="L733" s="13"/>
      <c r="M733" s="13"/>
    </row>
    <row r="734">
      <c r="E734" s="13"/>
      <c r="F734" s="13"/>
      <c r="G734" s="13"/>
      <c r="H734" s="13"/>
      <c r="I734" s="13"/>
      <c r="J734" s="13"/>
      <c r="K734" s="13"/>
      <c r="L734" s="13"/>
      <c r="M734" s="13"/>
    </row>
    <row r="735">
      <c r="E735" s="13"/>
      <c r="F735" s="13"/>
      <c r="G735" s="13"/>
      <c r="H735" s="13"/>
      <c r="I735" s="13"/>
      <c r="J735" s="13"/>
      <c r="K735" s="13"/>
      <c r="L735" s="13"/>
      <c r="M735" s="13"/>
    </row>
    <row r="736">
      <c r="E736" s="13"/>
      <c r="F736" s="13"/>
      <c r="G736" s="13"/>
      <c r="H736" s="13"/>
      <c r="I736" s="13"/>
      <c r="J736" s="13"/>
      <c r="K736" s="13"/>
      <c r="L736" s="13"/>
      <c r="M736" s="13"/>
    </row>
    <row r="737">
      <c r="E737" s="13"/>
      <c r="F737" s="13"/>
      <c r="G737" s="13"/>
      <c r="H737" s="13"/>
      <c r="I737" s="13"/>
      <c r="J737" s="13"/>
      <c r="K737" s="13"/>
      <c r="L737" s="13"/>
      <c r="M737" s="13"/>
    </row>
    <row r="738">
      <c r="E738" s="13"/>
      <c r="F738" s="13"/>
      <c r="G738" s="13"/>
      <c r="H738" s="13"/>
      <c r="I738" s="13"/>
      <c r="J738" s="13"/>
      <c r="K738" s="13"/>
      <c r="L738" s="13"/>
      <c r="M738" s="13"/>
    </row>
    <row r="739">
      <c r="E739" s="13"/>
      <c r="F739" s="13"/>
      <c r="G739" s="13"/>
      <c r="H739" s="13"/>
      <c r="I739" s="13"/>
      <c r="J739" s="13"/>
      <c r="K739" s="13"/>
      <c r="L739" s="13"/>
      <c r="M739" s="13"/>
    </row>
    <row r="740">
      <c r="E740" s="13"/>
      <c r="F740" s="13"/>
      <c r="G740" s="13"/>
      <c r="H740" s="13"/>
      <c r="I740" s="13"/>
      <c r="J740" s="13"/>
      <c r="K740" s="13"/>
      <c r="L740" s="13"/>
      <c r="M740" s="13"/>
    </row>
    <row r="741">
      <c r="E741" s="13"/>
      <c r="F741" s="13"/>
      <c r="G741" s="13"/>
      <c r="H741" s="13"/>
      <c r="I741" s="13"/>
      <c r="J741" s="13"/>
      <c r="K741" s="13"/>
      <c r="L741" s="13"/>
      <c r="M741" s="13"/>
    </row>
    <row r="742">
      <c r="E742" s="13"/>
      <c r="F742" s="13"/>
      <c r="G742" s="13"/>
      <c r="H742" s="13"/>
      <c r="I742" s="13"/>
      <c r="J742" s="13"/>
      <c r="K742" s="13"/>
      <c r="L742" s="13"/>
      <c r="M742" s="13"/>
    </row>
    <row r="743">
      <c r="E743" s="13"/>
      <c r="F743" s="13"/>
      <c r="G743" s="13"/>
      <c r="H743" s="13"/>
      <c r="I743" s="13"/>
      <c r="J743" s="13"/>
      <c r="K743" s="13"/>
      <c r="L743" s="13"/>
      <c r="M743" s="13"/>
    </row>
    <row r="744">
      <c r="E744" s="13"/>
      <c r="F744" s="13"/>
      <c r="G744" s="13"/>
      <c r="H744" s="13"/>
      <c r="I744" s="13"/>
      <c r="J744" s="13"/>
      <c r="K744" s="13"/>
      <c r="L744" s="13"/>
      <c r="M744" s="13"/>
    </row>
    <row r="745">
      <c r="E745" s="13"/>
      <c r="F745" s="13"/>
      <c r="G745" s="13"/>
      <c r="H745" s="13"/>
      <c r="I745" s="13"/>
      <c r="J745" s="13"/>
      <c r="K745" s="13"/>
      <c r="L745" s="13"/>
      <c r="M745" s="13"/>
    </row>
    <row r="746">
      <c r="E746" s="13"/>
      <c r="F746" s="13"/>
      <c r="G746" s="13"/>
      <c r="H746" s="13"/>
      <c r="I746" s="13"/>
      <c r="J746" s="13"/>
      <c r="K746" s="13"/>
      <c r="L746" s="13"/>
      <c r="M746" s="13"/>
    </row>
    <row r="747">
      <c r="E747" s="13"/>
      <c r="F747" s="13"/>
      <c r="G747" s="13"/>
      <c r="H747" s="13"/>
      <c r="I747" s="13"/>
      <c r="J747" s="13"/>
      <c r="K747" s="13"/>
      <c r="L747" s="13"/>
      <c r="M747" s="13"/>
    </row>
    <row r="748">
      <c r="E748" s="13"/>
      <c r="F748" s="13"/>
      <c r="G748" s="13"/>
      <c r="H748" s="13"/>
      <c r="I748" s="13"/>
      <c r="J748" s="13"/>
      <c r="K748" s="13"/>
      <c r="L748" s="13"/>
      <c r="M748" s="13"/>
    </row>
    <row r="749">
      <c r="E749" s="13"/>
      <c r="F749" s="13"/>
      <c r="G749" s="13"/>
      <c r="H749" s="13"/>
      <c r="I749" s="13"/>
      <c r="J749" s="13"/>
      <c r="K749" s="13"/>
      <c r="L749" s="13"/>
      <c r="M749" s="13"/>
    </row>
    <row r="750">
      <c r="E750" s="13"/>
      <c r="F750" s="13"/>
      <c r="G750" s="13"/>
      <c r="H750" s="13"/>
      <c r="I750" s="13"/>
      <c r="J750" s="13"/>
      <c r="K750" s="13"/>
      <c r="L750" s="13"/>
      <c r="M750" s="13"/>
    </row>
    <row r="751">
      <c r="E751" s="13"/>
      <c r="F751" s="13"/>
      <c r="G751" s="13"/>
      <c r="H751" s="13"/>
      <c r="I751" s="13"/>
      <c r="J751" s="13"/>
      <c r="K751" s="13"/>
      <c r="L751" s="13"/>
      <c r="M751" s="13"/>
    </row>
    <row r="752">
      <c r="E752" s="13"/>
      <c r="F752" s="13"/>
      <c r="G752" s="13"/>
      <c r="H752" s="13"/>
      <c r="I752" s="13"/>
      <c r="J752" s="13"/>
      <c r="K752" s="13"/>
      <c r="L752" s="13"/>
      <c r="M752" s="13"/>
    </row>
    <row r="753">
      <c r="E753" s="13"/>
      <c r="F753" s="13"/>
      <c r="G753" s="13"/>
      <c r="H753" s="13"/>
      <c r="I753" s="13"/>
      <c r="J753" s="13"/>
      <c r="K753" s="13"/>
      <c r="L753" s="13"/>
      <c r="M753" s="13"/>
    </row>
    <row r="754">
      <c r="E754" s="13"/>
      <c r="F754" s="13"/>
      <c r="G754" s="13"/>
      <c r="H754" s="13"/>
      <c r="I754" s="13"/>
      <c r="J754" s="13"/>
      <c r="K754" s="13"/>
      <c r="L754" s="13"/>
      <c r="M754" s="13"/>
    </row>
    <row r="755">
      <c r="E755" s="13"/>
      <c r="F755" s="13"/>
      <c r="G755" s="13"/>
      <c r="H755" s="13"/>
      <c r="I755" s="13"/>
      <c r="J755" s="13"/>
      <c r="K755" s="13"/>
      <c r="L755" s="13"/>
      <c r="M755" s="13"/>
    </row>
    <row r="756">
      <c r="E756" s="13"/>
      <c r="F756" s="13"/>
      <c r="G756" s="13"/>
      <c r="H756" s="13"/>
      <c r="I756" s="13"/>
      <c r="J756" s="13"/>
      <c r="K756" s="13"/>
      <c r="L756" s="13"/>
      <c r="M756" s="13"/>
    </row>
    <row r="757">
      <c r="E757" s="13"/>
      <c r="F757" s="13"/>
      <c r="G757" s="13"/>
      <c r="H757" s="13"/>
      <c r="I757" s="13"/>
      <c r="J757" s="13"/>
      <c r="K757" s="13"/>
      <c r="L757" s="13"/>
      <c r="M757" s="13"/>
    </row>
    <row r="758">
      <c r="E758" s="13"/>
      <c r="F758" s="13"/>
      <c r="G758" s="13"/>
      <c r="H758" s="13"/>
      <c r="I758" s="13"/>
      <c r="J758" s="13"/>
      <c r="K758" s="13"/>
      <c r="L758" s="13"/>
      <c r="M758" s="13"/>
    </row>
    <row r="759">
      <c r="E759" s="13"/>
      <c r="F759" s="13"/>
      <c r="G759" s="13"/>
      <c r="H759" s="13"/>
      <c r="I759" s="13"/>
      <c r="J759" s="13"/>
      <c r="K759" s="13"/>
      <c r="L759" s="13"/>
      <c r="M759" s="13"/>
    </row>
    <row r="760">
      <c r="E760" s="13"/>
      <c r="F760" s="13"/>
      <c r="G760" s="13"/>
      <c r="H760" s="13"/>
      <c r="I760" s="13"/>
      <c r="J760" s="13"/>
      <c r="K760" s="13"/>
      <c r="L760" s="13"/>
      <c r="M760" s="13"/>
    </row>
    <row r="761">
      <c r="E761" s="13"/>
      <c r="F761" s="13"/>
      <c r="G761" s="13"/>
      <c r="H761" s="13"/>
      <c r="I761" s="13"/>
      <c r="J761" s="13"/>
      <c r="K761" s="13"/>
      <c r="L761" s="13"/>
      <c r="M761" s="13"/>
    </row>
    <row r="762">
      <c r="E762" s="13"/>
      <c r="F762" s="13"/>
      <c r="G762" s="13"/>
      <c r="H762" s="13"/>
      <c r="I762" s="13"/>
      <c r="J762" s="13"/>
      <c r="K762" s="13"/>
      <c r="L762" s="13"/>
      <c r="M762" s="13"/>
    </row>
    <row r="763">
      <c r="E763" s="13"/>
      <c r="F763" s="13"/>
      <c r="G763" s="13"/>
      <c r="H763" s="13"/>
      <c r="I763" s="13"/>
      <c r="J763" s="13"/>
      <c r="K763" s="13"/>
      <c r="L763" s="13"/>
      <c r="M763" s="13"/>
    </row>
    <row r="764">
      <c r="E764" s="13"/>
      <c r="F764" s="13"/>
      <c r="G764" s="13"/>
      <c r="H764" s="13"/>
      <c r="I764" s="13"/>
      <c r="J764" s="13"/>
      <c r="K764" s="13"/>
      <c r="L764" s="13"/>
      <c r="M764" s="13"/>
    </row>
    <row r="765">
      <c r="E765" s="13"/>
      <c r="F765" s="13"/>
      <c r="G765" s="13"/>
      <c r="H765" s="13"/>
      <c r="I765" s="13"/>
      <c r="J765" s="13"/>
      <c r="K765" s="13"/>
      <c r="L765" s="13"/>
      <c r="M765" s="13"/>
    </row>
    <row r="766">
      <c r="E766" s="13"/>
      <c r="F766" s="13"/>
      <c r="G766" s="13"/>
      <c r="H766" s="13"/>
      <c r="I766" s="13"/>
      <c r="J766" s="13"/>
      <c r="K766" s="13"/>
      <c r="L766" s="13"/>
      <c r="M766" s="13"/>
    </row>
    <row r="767">
      <c r="E767" s="13"/>
      <c r="F767" s="13"/>
      <c r="G767" s="13"/>
      <c r="H767" s="13"/>
      <c r="I767" s="13"/>
      <c r="J767" s="13"/>
      <c r="K767" s="13"/>
      <c r="L767" s="13"/>
      <c r="M767" s="13"/>
    </row>
    <row r="768">
      <c r="E768" s="13"/>
      <c r="F768" s="13"/>
      <c r="G768" s="13"/>
      <c r="H768" s="13"/>
      <c r="I768" s="13"/>
      <c r="J768" s="13"/>
      <c r="K768" s="13"/>
      <c r="L768" s="13"/>
      <c r="M768" s="13"/>
    </row>
    <row r="769">
      <c r="E769" s="13"/>
      <c r="F769" s="13"/>
      <c r="G769" s="13"/>
      <c r="H769" s="13"/>
      <c r="I769" s="13"/>
      <c r="J769" s="13"/>
      <c r="K769" s="13"/>
      <c r="L769" s="13"/>
      <c r="M769" s="13"/>
    </row>
    <row r="770">
      <c r="E770" s="13"/>
      <c r="F770" s="13"/>
      <c r="G770" s="13"/>
      <c r="H770" s="13"/>
      <c r="I770" s="13"/>
      <c r="J770" s="13"/>
      <c r="K770" s="13"/>
      <c r="L770" s="13"/>
      <c r="M770" s="13"/>
    </row>
    <row r="771">
      <c r="E771" s="13"/>
      <c r="F771" s="13"/>
      <c r="G771" s="13"/>
      <c r="H771" s="13"/>
      <c r="I771" s="13"/>
      <c r="J771" s="13"/>
      <c r="K771" s="13"/>
      <c r="L771" s="13"/>
      <c r="M771" s="13"/>
    </row>
    <row r="772">
      <c r="E772" s="13"/>
      <c r="F772" s="13"/>
      <c r="G772" s="13"/>
      <c r="H772" s="13"/>
      <c r="I772" s="13"/>
      <c r="J772" s="13"/>
      <c r="K772" s="13"/>
      <c r="L772" s="13"/>
      <c r="M772" s="13"/>
    </row>
    <row r="773">
      <c r="E773" s="13"/>
      <c r="F773" s="13"/>
      <c r="G773" s="13"/>
      <c r="H773" s="13"/>
      <c r="I773" s="13"/>
      <c r="J773" s="13"/>
      <c r="K773" s="13"/>
      <c r="L773" s="13"/>
      <c r="M773" s="13"/>
    </row>
    <row r="774">
      <c r="E774" s="13"/>
      <c r="F774" s="13"/>
      <c r="G774" s="13"/>
      <c r="H774" s="13"/>
      <c r="I774" s="13"/>
      <c r="J774" s="13"/>
      <c r="K774" s="13"/>
      <c r="L774" s="13"/>
      <c r="M774" s="13"/>
    </row>
    <row r="775">
      <c r="E775" s="13"/>
      <c r="F775" s="13"/>
      <c r="G775" s="13"/>
      <c r="H775" s="13"/>
      <c r="I775" s="13"/>
      <c r="J775" s="13"/>
      <c r="K775" s="13"/>
      <c r="L775" s="13"/>
      <c r="M775" s="13"/>
    </row>
    <row r="776">
      <c r="E776" s="13"/>
      <c r="F776" s="13"/>
      <c r="G776" s="13"/>
      <c r="H776" s="13"/>
      <c r="I776" s="13"/>
      <c r="J776" s="13"/>
      <c r="K776" s="13"/>
      <c r="L776" s="13"/>
      <c r="M776" s="13"/>
    </row>
    <row r="777">
      <c r="E777" s="13"/>
      <c r="F777" s="13"/>
      <c r="G777" s="13"/>
      <c r="H777" s="13"/>
      <c r="I777" s="13"/>
      <c r="J777" s="13"/>
      <c r="K777" s="13"/>
      <c r="L777" s="13"/>
      <c r="M777" s="13"/>
    </row>
    <row r="778">
      <c r="E778" s="13"/>
      <c r="F778" s="13"/>
      <c r="G778" s="13"/>
      <c r="H778" s="13"/>
      <c r="I778" s="13"/>
      <c r="J778" s="13"/>
      <c r="K778" s="13"/>
      <c r="L778" s="13"/>
      <c r="M778" s="13"/>
    </row>
    <row r="779">
      <c r="E779" s="13"/>
      <c r="F779" s="13"/>
      <c r="G779" s="13"/>
      <c r="H779" s="13"/>
      <c r="I779" s="13"/>
      <c r="J779" s="13"/>
      <c r="K779" s="13"/>
      <c r="L779" s="13"/>
      <c r="M779" s="13"/>
    </row>
    <row r="780">
      <c r="E780" s="13"/>
      <c r="F780" s="13"/>
      <c r="G780" s="13"/>
      <c r="H780" s="13"/>
      <c r="I780" s="13"/>
      <c r="J780" s="13"/>
      <c r="K780" s="13"/>
      <c r="L780" s="13"/>
      <c r="M780" s="13"/>
    </row>
    <row r="781">
      <c r="E781" s="13"/>
      <c r="F781" s="13"/>
      <c r="G781" s="13"/>
      <c r="H781" s="13"/>
      <c r="I781" s="13"/>
      <c r="J781" s="13"/>
      <c r="K781" s="13"/>
      <c r="L781" s="13"/>
      <c r="M781" s="13"/>
    </row>
    <row r="782">
      <c r="E782" s="13"/>
      <c r="F782" s="13"/>
      <c r="G782" s="13"/>
      <c r="H782" s="13"/>
      <c r="I782" s="13"/>
      <c r="J782" s="13"/>
      <c r="K782" s="13"/>
      <c r="L782" s="13"/>
      <c r="M782" s="13"/>
    </row>
    <row r="783">
      <c r="E783" s="13"/>
      <c r="F783" s="13"/>
      <c r="G783" s="13"/>
      <c r="H783" s="13"/>
      <c r="I783" s="13"/>
      <c r="J783" s="13"/>
      <c r="K783" s="13"/>
      <c r="L783" s="13"/>
      <c r="M783" s="13"/>
    </row>
    <row r="784">
      <c r="E784" s="13"/>
      <c r="F784" s="13"/>
      <c r="G784" s="13"/>
      <c r="H784" s="13"/>
      <c r="I784" s="13"/>
      <c r="J784" s="13"/>
      <c r="K784" s="13"/>
      <c r="L784" s="13"/>
      <c r="M784" s="13"/>
    </row>
    <row r="785">
      <c r="E785" s="13"/>
      <c r="F785" s="13"/>
      <c r="G785" s="13"/>
      <c r="H785" s="13"/>
      <c r="I785" s="13"/>
      <c r="J785" s="13"/>
      <c r="K785" s="13"/>
      <c r="L785" s="13"/>
      <c r="M785" s="13"/>
    </row>
    <row r="786">
      <c r="E786" s="13"/>
      <c r="F786" s="13"/>
      <c r="G786" s="13"/>
      <c r="H786" s="13"/>
      <c r="I786" s="13"/>
      <c r="J786" s="13"/>
      <c r="K786" s="13"/>
      <c r="L786" s="13"/>
      <c r="M786" s="13"/>
    </row>
    <row r="787">
      <c r="E787" s="13"/>
      <c r="F787" s="13"/>
      <c r="G787" s="13"/>
      <c r="H787" s="13"/>
      <c r="I787" s="13"/>
      <c r="J787" s="13"/>
      <c r="K787" s="13"/>
      <c r="L787" s="13"/>
      <c r="M787" s="13"/>
    </row>
    <row r="788">
      <c r="E788" s="13"/>
      <c r="F788" s="13"/>
      <c r="G788" s="13"/>
      <c r="H788" s="13"/>
      <c r="I788" s="13"/>
      <c r="J788" s="13"/>
      <c r="K788" s="13"/>
      <c r="L788" s="13"/>
      <c r="M788" s="13"/>
    </row>
    <row r="789">
      <c r="E789" s="13"/>
      <c r="F789" s="13"/>
      <c r="G789" s="13"/>
      <c r="H789" s="13"/>
      <c r="I789" s="13"/>
      <c r="J789" s="13"/>
      <c r="K789" s="13"/>
      <c r="L789" s="13"/>
      <c r="M789" s="13"/>
    </row>
    <row r="790">
      <c r="E790" s="13"/>
      <c r="F790" s="13"/>
      <c r="G790" s="13"/>
      <c r="H790" s="13"/>
      <c r="I790" s="13"/>
      <c r="J790" s="13"/>
      <c r="K790" s="13"/>
      <c r="L790" s="13"/>
      <c r="M790" s="13"/>
    </row>
    <row r="791">
      <c r="E791" s="13"/>
      <c r="F791" s="13"/>
      <c r="G791" s="13"/>
      <c r="H791" s="13"/>
      <c r="I791" s="13"/>
      <c r="J791" s="13"/>
      <c r="K791" s="13"/>
      <c r="L791" s="13"/>
      <c r="M791" s="13"/>
    </row>
    <row r="792">
      <c r="E792" s="13"/>
      <c r="F792" s="13"/>
      <c r="G792" s="13"/>
      <c r="H792" s="13"/>
      <c r="I792" s="13"/>
      <c r="J792" s="13"/>
      <c r="K792" s="13"/>
      <c r="L792" s="13"/>
      <c r="M792" s="13"/>
    </row>
    <row r="793">
      <c r="E793" s="13"/>
      <c r="F793" s="13"/>
      <c r="G793" s="13"/>
      <c r="H793" s="13"/>
      <c r="I793" s="13"/>
      <c r="J793" s="13"/>
      <c r="K793" s="13"/>
      <c r="L793" s="13"/>
      <c r="M793" s="13"/>
    </row>
    <row r="794">
      <c r="E794" s="13"/>
      <c r="F794" s="13"/>
      <c r="G794" s="13"/>
      <c r="H794" s="13"/>
      <c r="I794" s="13"/>
      <c r="J794" s="13"/>
      <c r="K794" s="13"/>
      <c r="L794" s="13"/>
      <c r="M794" s="13"/>
    </row>
    <row r="795">
      <c r="E795" s="13"/>
      <c r="F795" s="13"/>
      <c r="G795" s="13"/>
      <c r="H795" s="13"/>
      <c r="I795" s="13"/>
      <c r="J795" s="13"/>
      <c r="K795" s="13"/>
      <c r="L795" s="13"/>
      <c r="M795" s="13"/>
    </row>
    <row r="796">
      <c r="E796" s="13"/>
      <c r="F796" s="13"/>
      <c r="G796" s="13"/>
      <c r="H796" s="13"/>
      <c r="I796" s="13"/>
      <c r="J796" s="13"/>
      <c r="K796" s="13"/>
      <c r="L796" s="13"/>
      <c r="M796" s="13"/>
    </row>
    <row r="797">
      <c r="E797" s="13"/>
      <c r="F797" s="13"/>
      <c r="G797" s="13"/>
      <c r="H797" s="13"/>
      <c r="I797" s="13"/>
      <c r="J797" s="13"/>
      <c r="K797" s="13"/>
      <c r="L797" s="13"/>
      <c r="M797" s="13"/>
    </row>
    <row r="798">
      <c r="E798" s="13"/>
      <c r="F798" s="13"/>
      <c r="G798" s="13"/>
      <c r="H798" s="13"/>
      <c r="I798" s="13"/>
      <c r="J798" s="13"/>
      <c r="K798" s="13"/>
      <c r="L798" s="13"/>
      <c r="M798" s="13"/>
    </row>
    <row r="799">
      <c r="E799" s="13"/>
      <c r="F799" s="13"/>
      <c r="G799" s="13"/>
      <c r="H799" s="13"/>
      <c r="I799" s="13"/>
      <c r="J799" s="13"/>
      <c r="K799" s="13"/>
      <c r="L799" s="13"/>
      <c r="M799" s="13"/>
    </row>
    <row r="800">
      <c r="E800" s="13"/>
      <c r="F800" s="13"/>
      <c r="G800" s="13"/>
      <c r="H800" s="13"/>
      <c r="I800" s="13"/>
      <c r="J800" s="13"/>
      <c r="K800" s="13"/>
      <c r="L800" s="13"/>
      <c r="M800" s="13"/>
    </row>
    <row r="801">
      <c r="E801" s="13"/>
      <c r="F801" s="13"/>
      <c r="G801" s="13"/>
      <c r="H801" s="13"/>
      <c r="I801" s="13"/>
      <c r="J801" s="13"/>
      <c r="K801" s="13"/>
      <c r="L801" s="13"/>
      <c r="M801" s="13"/>
    </row>
    <row r="802">
      <c r="E802" s="13"/>
      <c r="F802" s="13"/>
      <c r="G802" s="13"/>
      <c r="H802" s="13"/>
      <c r="I802" s="13"/>
      <c r="J802" s="13"/>
      <c r="K802" s="13"/>
      <c r="L802" s="13"/>
      <c r="M802" s="13"/>
    </row>
    <row r="803">
      <c r="E803" s="13"/>
      <c r="F803" s="13"/>
      <c r="G803" s="13"/>
      <c r="H803" s="13"/>
      <c r="I803" s="13"/>
      <c r="J803" s="13"/>
      <c r="K803" s="13"/>
      <c r="L803" s="13"/>
      <c r="M803" s="13"/>
    </row>
    <row r="804">
      <c r="E804" s="13"/>
      <c r="F804" s="13"/>
      <c r="G804" s="13"/>
      <c r="H804" s="13"/>
      <c r="I804" s="13"/>
      <c r="J804" s="13"/>
      <c r="K804" s="13"/>
      <c r="L804" s="13"/>
      <c r="M804" s="13"/>
    </row>
    <row r="805">
      <c r="E805" s="13"/>
      <c r="F805" s="13"/>
      <c r="G805" s="13"/>
      <c r="H805" s="13"/>
      <c r="I805" s="13"/>
      <c r="J805" s="13"/>
      <c r="K805" s="13"/>
      <c r="L805" s="13"/>
      <c r="M805" s="13"/>
    </row>
    <row r="806">
      <c r="E806" s="13"/>
      <c r="F806" s="13"/>
      <c r="G806" s="13"/>
      <c r="H806" s="13"/>
      <c r="I806" s="13"/>
      <c r="J806" s="13"/>
      <c r="K806" s="13"/>
      <c r="L806" s="13"/>
      <c r="M806" s="13"/>
    </row>
    <row r="807">
      <c r="E807" s="13"/>
      <c r="F807" s="13"/>
      <c r="G807" s="13"/>
      <c r="H807" s="13"/>
      <c r="I807" s="13"/>
      <c r="J807" s="13"/>
      <c r="K807" s="13"/>
      <c r="L807" s="13"/>
      <c r="M807" s="13"/>
    </row>
    <row r="808">
      <c r="E808" s="13"/>
      <c r="F808" s="13"/>
      <c r="G808" s="13"/>
      <c r="H808" s="13"/>
      <c r="I808" s="13"/>
      <c r="J808" s="13"/>
      <c r="K808" s="13"/>
      <c r="L808" s="13"/>
      <c r="M808" s="13"/>
    </row>
    <row r="809">
      <c r="E809" s="13"/>
      <c r="F809" s="13"/>
      <c r="G809" s="13"/>
      <c r="H809" s="13"/>
      <c r="I809" s="13"/>
      <c r="J809" s="13"/>
      <c r="K809" s="13"/>
      <c r="L809" s="13"/>
      <c r="M809" s="13"/>
    </row>
    <row r="810">
      <c r="E810" s="13"/>
      <c r="F810" s="13"/>
      <c r="G810" s="13"/>
      <c r="H810" s="13"/>
      <c r="I810" s="13"/>
      <c r="J810" s="13"/>
      <c r="K810" s="13"/>
      <c r="L810" s="13"/>
      <c r="M810" s="13"/>
    </row>
    <row r="811">
      <c r="E811" s="13"/>
      <c r="F811" s="13"/>
      <c r="G811" s="13"/>
      <c r="H811" s="13"/>
      <c r="I811" s="13"/>
      <c r="J811" s="13"/>
      <c r="K811" s="13"/>
      <c r="L811" s="13"/>
      <c r="M811" s="13"/>
    </row>
    <row r="812">
      <c r="E812" s="13"/>
      <c r="F812" s="13"/>
      <c r="G812" s="13"/>
      <c r="H812" s="13"/>
      <c r="I812" s="13"/>
      <c r="J812" s="13"/>
      <c r="K812" s="13"/>
      <c r="L812" s="13"/>
      <c r="M812" s="13"/>
    </row>
    <row r="813">
      <c r="E813" s="13"/>
      <c r="F813" s="13"/>
      <c r="G813" s="13"/>
      <c r="H813" s="13"/>
      <c r="I813" s="13"/>
      <c r="J813" s="13"/>
      <c r="K813" s="13"/>
      <c r="L813" s="13"/>
      <c r="M813" s="13"/>
    </row>
    <row r="814">
      <c r="E814" s="13"/>
      <c r="F814" s="13"/>
      <c r="G814" s="13"/>
      <c r="H814" s="13"/>
      <c r="I814" s="13"/>
      <c r="J814" s="13"/>
      <c r="K814" s="13"/>
      <c r="L814" s="13"/>
      <c r="M814" s="13"/>
    </row>
    <row r="815">
      <c r="E815" s="13"/>
      <c r="F815" s="13"/>
      <c r="G815" s="13"/>
      <c r="H815" s="13"/>
      <c r="I815" s="13"/>
      <c r="J815" s="13"/>
      <c r="K815" s="13"/>
      <c r="L815" s="13"/>
      <c r="M815" s="13"/>
    </row>
    <row r="816">
      <c r="E816" s="13"/>
      <c r="F816" s="13"/>
      <c r="G816" s="13"/>
      <c r="H816" s="13"/>
      <c r="I816" s="13"/>
      <c r="J816" s="13"/>
      <c r="K816" s="13"/>
      <c r="L816" s="13"/>
      <c r="M816" s="13"/>
    </row>
    <row r="817">
      <c r="E817" s="13"/>
      <c r="F817" s="13"/>
      <c r="G817" s="13"/>
      <c r="H817" s="13"/>
      <c r="I817" s="13"/>
      <c r="J817" s="13"/>
      <c r="K817" s="13"/>
      <c r="L817" s="13"/>
      <c r="M817" s="13"/>
    </row>
    <row r="818">
      <c r="E818" s="13"/>
      <c r="F818" s="13"/>
      <c r="G818" s="13"/>
      <c r="H818" s="13"/>
      <c r="I818" s="13"/>
      <c r="J818" s="13"/>
      <c r="K818" s="13"/>
      <c r="L818" s="13"/>
      <c r="M818" s="13"/>
    </row>
    <row r="819">
      <c r="E819" s="13"/>
      <c r="F819" s="13"/>
      <c r="G819" s="13"/>
      <c r="H819" s="13"/>
      <c r="I819" s="13"/>
      <c r="J819" s="13"/>
      <c r="K819" s="13"/>
      <c r="L819" s="13"/>
      <c r="M819" s="13"/>
    </row>
    <row r="820">
      <c r="E820" s="13"/>
      <c r="F820" s="13"/>
      <c r="G820" s="13"/>
      <c r="H820" s="13"/>
      <c r="I820" s="13"/>
      <c r="J820" s="13"/>
      <c r="K820" s="13"/>
      <c r="L820" s="13"/>
      <c r="M820" s="13"/>
    </row>
    <row r="821">
      <c r="E821" s="13"/>
      <c r="F821" s="13"/>
      <c r="G821" s="13"/>
      <c r="H821" s="13"/>
      <c r="I821" s="13"/>
      <c r="J821" s="13"/>
      <c r="K821" s="13"/>
      <c r="L821" s="13"/>
      <c r="M821" s="13"/>
    </row>
    <row r="822">
      <c r="E822" s="13"/>
      <c r="F822" s="13"/>
      <c r="G822" s="13"/>
      <c r="H822" s="13"/>
      <c r="I822" s="13"/>
      <c r="J822" s="13"/>
      <c r="K822" s="13"/>
      <c r="L822" s="13"/>
      <c r="M822" s="13"/>
    </row>
    <row r="823">
      <c r="E823" s="13"/>
      <c r="F823" s="13"/>
      <c r="G823" s="13"/>
      <c r="H823" s="13"/>
      <c r="I823" s="13"/>
      <c r="J823" s="13"/>
      <c r="K823" s="13"/>
      <c r="L823" s="13"/>
      <c r="M823" s="13"/>
    </row>
    <row r="824">
      <c r="E824" s="13"/>
      <c r="F824" s="13"/>
      <c r="G824" s="13"/>
      <c r="H824" s="13"/>
      <c r="I824" s="13"/>
      <c r="J824" s="13"/>
      <c r="K824" s="13"/>
      <c r="L824" s="13"/>
      <c r="M824" s="13"/>
    </row>
    <row r="825">
      <c r="E825" s="13"/>
      <c r="F825" s="13"/>
      <c r="G825" s="13"/>
      <c r="H825" s="13"/>
      <c r="I825" s="13"/>
      <c r="J825" s="13"/>
      <c r="K825" s="13"/>
      <c r="L825" s="13"/>
      <c r="M825" s="13"/>
    </row>
    <row r="826">
      <c r="E826" s="13"/>
      <c r="F826" s="13"/>
      <c r="G826" s="13"/>
      <c r="H826" s="13"/>
      <c r="I826" s="13"/>
      <c r="J826" s="13"/>
      <c r="K826" s="13"/>
      <c r="L826" s="13"/>
      <c r="M826" s="13"/>
    </row>
    <row r="827">
      <c r="E827" s="13"/>
      <c r="F827" s="13"/>
      <c r="G827" s="13"/>
      <c r="H827" s="13"/>
      <c r="I827" s="13"/>
      <c r="J827" s="13"/>
      <c r="K827" s="13"/>
      <c r="L827" s="13"/>
      <c r="M827" s="13"/>
    </row>
    <row r="828">
      <c r="E828" s="13"/>
      <c r="F828" s="13"/>
      <c r="G828" s="13"/>
      <c r="H828" s="13"/>
      <c r="I828" s="13"/>
      <c r="J828" s="13"/>
      <c r="K828" s="13"/>
      <c r="L828" s="13"/>
      <c r="M828" s="13"/>
    </row>
    <row r="829">
      <c r="E829" s="13"/>
      <c r="F829" s="13"/>
      <c r="G829" s="13"/>
      <c r="H829" s="13"/>
      <c r="I829" s="13"/>
      <c r="J829" s="13"/>
      <c r="K829" s="13"/>
      <c r="L829" s="13"/>
      <c r="M829" s="13"/>
    </row>
    <row r="830">
      <c r="E830" s="13"/>
      <c r="F830" s="13"/>
      <c r="G830" s="13"/>
      <c r="H830" s="13"/>
      <c r="I830" s="13"/>
      <c r="J830" s="13"/>
      <c r="K830" s="13"/>
      <c r="L830" s="13"/>
      <c r="M830" s="13"/>
    </row>
    <row r="831">
      <c r="E831" s="13"/>
      <c r="F831" s="13"/>
      <c r="G831" s="13"/>
      <c r="H831" s="13"/>
      <c r="I831" s="13"/>
      <c r="J831" s="13"/>
      <c r="K831" s="13"/>
      <c r="L831" s="13"/>
      <c r="M831" s="13"/>
    </row>
    <row r="832">
      <c r="E832" s="13"/>
      <c r="F832" s="13"/>
      <c r="G832" s="13"/>
      <c r="H832" s="13"/>
      <c r="I832" s="13"/>
      <c r="J832" s="13"/>
      <c r="K832" s="13"/>
      <c r="L832" s="13"/>
      <c r="M832" s="13"/>
    </row>
    <row r="833">
      <c r="E833" s="13"/>
      <c r="F833" s="13"/>
      <c r="G833" s="13"/>
      <c r="H833" s="13"/>
      <c r="I833" s="13"/>
      <c r="J833" s="13"/>
      <c r="K833" s="13"/>
      <c r="L833" s="13"/>
      <c r="M833" s="13"/>
    </row>
    <row r="834">
      <c r="E834" s="13"/>
      <c r="F834" s="13"/>
      <c r="G834" s="13"/>
      <c r="H834" s="13"/>
      <c r="I834" s="13"/>
      <c r="J834" s="13"/>
      <c r="K834" s="13"/>
      <c r="L834" s="13"/>
      <c r="M834" s="13"/>
    </row>
    <row r="835">
      <c r="E835" s="13"/>
      <c r="F835" s="13"/>
      <c r="G835" s="13"/>
      <c r="H835" s="13"/>
      <c r="I835" s="13"/>
      <c r="J835" s="13"/>
      <c r="K835" s="13"/>
      <c r="L835" s="13"/>
      <c r="M835" s="13"/>
    </row>
    <row r="836">
      <c r="E836" s="13"/>
      <c r="F836" s="13"/>
      <c r="G836" s="13"/>
      <c r="H836" s="13"/>
      <c r="I836" s="13"/>
      <c r="J836" s="13"/>
      <c r="K836" s="13"/>
      <c r="L836" s="13"/>
      <c r="M836" s="13"/>
    </row>
    <row r="837">
      <c r="E837" s="13"/>
      <c r="F837" s="13"/>
      <c r="G837" s="13"/>
      <c r="H837" s="13"/>
      <c r="I837" s="13"/>
      <c r="J837" s="13"/>
      <c r="K837" s="13"/>
      <c r="L837" s="13"/>
      <c r="M837" s="13"/>
    </row>
    <row r="838">
      <c r="E838" s="13"/>
      <c r="F838" s="13"/>
      <c r="G838" s="13"/>
      <c r="H838" s="13"/>
      <c r="I838" s="13"/>
      <c r="J838" s="13"/>
      <c r="K838" s="13"/>
      <c r="L838" s="13"/>
      <c r="M838" s="13"/>
    </row>
    <row r="839">
      <c r="E839" s="13"/>
      <c r="F839" s="13"/>
      <c r="G839" s="13"/>
      <c r="H839" s="13"/>
      <c r="I839" s="13"/>
      <c r="J839" s="13"/>
      <c r="K839" s="13"/>
      <c r="L839" s="13"/>
      <c r="M839" s="13"/>
    </row>
    <row r="840">
      <c r="E840" s="13"/>
      <c r="F840" s="13"/>
      <c r="G840" s="13"/>
      <c r="H840" s="13"/>
      <c r="I840" s="13"/>
      <c r="J840" s="13"/>
      <c r="K840" s="13"/>
      <c r="L840" s="13"/>
      <c r="M840" s="13"/>
    </row>
    <row r="841">
      <c r="E841" s="13"/>
      <c r="F841" s="13"/>
      <c r="G841" s="13"/>
      <c r="H841" s="13"/>
      <c r="I841" s="13"/>
      <c r="J841" s="13"/>
      <c r="K841" s="13"/>
      <c r="L841" s="13"/>
      <c r="M841" s="13"/>
    </row>
    <row r="842">
      <c r="E842" s="13"/>
      <c r="F842" s="13"/>
      <c r="G842" s="13"/>
      <c r="H842" s="13"/>
      <c r="I842" s="13"/>
      <c r="J842" s="13"/>
      <c r="K842" s="13"/>
      <c r="L842" s="13"/>
      <c r="M842" s="13"/>
    </row>
    <row r="843">
      <c r="E843" s="13"/>
      <c r="F843" s="13"/>
      <c r="G843" s="13"/>
      <c r="H843" s="13"/>
      <c r="I843" s="13"/>
      <c r="J843" s="13"/>
      <c r="K843" s="13"/>
      <c r="L843" s="13"/>
      <c r="M843" s="13"/>
    </row>
    <row r="844">
      <c r="E844" s="13"/>
      <c r="F844" s="13"/>
      <c r="G844" s="13"/>
      <c r="H844" s="13"/>
      <c r="I844" s="13"/>
      <c r="J844" s="13"/>
      <c r="K844" s="13"/>
      <c r="L844" s="13"/>
      <c r="M844" s="13"/>
    </row>
    <row r="845">
      <c r="E845" s="13"/>
      <c r="F845" s="13"/>
      <c r="G845" s="13"/>
      <c r="H845" s="13"/>
      <c r="I845" s="13"/>
      <c r="J845" s="13"/>
      <c r="K845" s="13"/>
      <c r="L845" s="13"/>
      <c r="M845" s="13"/>
    </row>
    <row r="846">
      <c r="E846" s="13"/>
      <c r="F846" s="13"/>
      <c r="G846" s="13"/>
      <c r="H846" s="13"/>
      <c r="I846" s="13"/>
      <c r="J846" s="13"/>
      <c r="K846" s="13"/>
      <c r="L846" s="13"/>
      <c r="M846" s="13"/>
    </row>
    <row r="847">
      <c r="E847" s="13"/>
      <c r="F847" s="13"/>
      <c r="G847" s="13"/>
      <c r="H847" s="13"/>
      <c r="I847" s="13"/>
      <c r="J847" s="13"/>
      <c r="K847" s="13"/>
      <c r="L847" s="13"/>
      <c r="M847" s="13"/>
    </row>
    <row r="848">
      <c r="E848" s="13"/>
      <c r="F848" s="13"/>
      <c r="G848" s="13"/>
      <c r="H848" s="13"/>
      <c r="I848" s="13"/>
      <c r="J848" s="13"/>
      <c r="K848" s="13"/>
      <c r="L848" s="13"/>
      <c r="M848" s="13"/>
    </row>
    <row r="849">
      <c r="E849" s="13"/>
      <c r="F849" s="13"/>
      <c r="G849" s="13"/>
      <c r="H849" s="13"/>
      <c r="I849" s="13"/>
      <c r="J849" s="13"/>
      <c r="K849" s="13"/>
      <c r="L849" s="13"/>
      <c r="M849" s="13"/>
    </row>
    <row r="850">
      <c r="E850" s="13"/>
      <c r="F850" s="13"/>
      <c r="G850" s="13"/>
      <c r="H850" s="13"/>
      <c r="I850" s="13"/>
      <c r="J850" s="13"/>
      <c r="K850" s="13"/>
      <c r="L850" s="13"/>
      <c r="M850" s="13"/>
    </row>
    <row r="851">
      <c r="E851" s="13"/>
      <c r="F851" s="13"/>
      <c r="G851" s="13"/>
      <c r="H851" s="13"/>
      <c r="I851" s="13"/>
      <c r="J851" s="13"/>
      <c r="K851" s="13"/>
      <c r="L851" s="13"/>
      <c r="M851" s="13"/>
    </row>
    <row r="852">
      <c r="E852" s="13"/>
      <c r="F852" s="13"/>
      <c r="G852" s="13"/>
      <c r="H852" s="13"/>
      <c r="I852" s="13"/>
      <c r="J852" s="13"/>
      <c r="K852" s="13"/>
      <c r="L852" s="13"/>
      <c r="M852" s="13"/>
    </row>
    <row r="853">
      <c r="E853" s="13"/>
      <c r="F853" s="13"/>
      <c r="G853" s="13"/>
      <c r="H853" s="13"/>
      <c r="I853" s="13"/>
      <c r="J853" s="13"/>
      <c r="K853" s="13"/>
      <c r="L853" s="13"/>
      <c r="M853" s="13"/>
    </row>
    <row r="854">
      <c r="E854" s="13"/>
      <c r="F854" s="13"/>
      <c r="G854" s="13"/>
      <c r="H854" s="13"/>
      <c r="I854" s="13"/>
      <c r="J854" s="13"/>
      <c r="K854" s="13"/>
      <c r="L854" s="13"/>
      <c r="M854" s="13"/>
    </row>
    <row r="855">
      <c r="E855" s="13"/>
      <c r="F855" s="13"/>
      <c r="G855" s="13"/>
      <c r="H855" s="13"/>
      <c r="I855" s="13"/>
      <c r="J855" s="13"/>
      <c r="K855" s="13"/>
      <c r="L855" s="13"/>
      <c r="M855" s="13"/>
    </row>
    <row r="856">
      <c r="E856" s="13"/>
      <c r="F856" s="13"/>
      <c r="G856" s="13"/>
      <c r="H856" s="13"/>
      <c r="I856" s="13"/>
      <c r="J856" s="13"/>
      <c r="K856" s="13"/>
      <c r="L856" s="13"/>
      <c r="M856" s="13"/>
    </row>
    <row r="857">
      <c r="E857" s="13"/>
      <c r="F857" s="13"/>
      <c r="G857" s="13"/>
      <c r="H857" s="13"/>
      <c r="I857" s="13"/>
      <c r="J857" s="13"/>
      <c r="K857" s="13"/>
      <c r="L857" s="13"/>
      <c r="M857" s="13"/>
    </row>
    <row r="858">
      <c r="E858" s="13"/>
      <c r="F858" s="13"/>
      <c r="G858" s="13"/>
      <c r="H858" s="13"/>
      <c r="I858" s="13"/>
      <c r="J858" s="13"/>
      <c r="K858" s="13"/>
      <c r="L858" s="13"/>
      <c r="M858" s="13"/>
    </row>
    <row r="859">
      <c r="E859" s="13"/>
      <c r="F859" s="13"/>
      <c r="G859" s="13"/>
      <c r="H859" s="13"/>
      <c r="I859" s="13"/>
      <c r="J859" s="13"/>
      <c r="K859" s="13"/>
      <c r="L859" s="13"/>
      <c r="M859" s="13"/>
    </row>
    <row r="860">
      <c r="E860" s="13"/>
      <c r="F860" s="13"/>
      <c r="G860" s="13"/>
      <c r="H860" s="13"/>
      <c r="I860" s="13"/>
      <c r="J860" s="13"/>
      <c r="K860" s="13"/>
      <c r="L860" s="13"/>
      <c r="M860" s="13"/>
    </row>
    <row r="861">
      <c r="E861" s="13"/>
      <c r="F861" s="13"/>
      <c r="G861" s="13"/>
      <c r="H861" s="13"/>
      <c r="I861" s="13"/>
      <c r="J861" s="13"/>
      <c r="K861" s="13"/>
      <c r="L861" s="13"/>
      <c r="M861" s="13"/>
    </row>
    <row r="862">
      <c r="E862" s="13"/>
      <c r="F862" s="13"/>
      <c r="G862" s="13"/>
      <c r="H862" s="13"/>
      <c r="I862" s="13"/>
      <c r="J862" s="13"/>
      <c r="K862" s="13"/>
      <c r="L862" s="13"/>
      <c r="M862" s="13"/>
    </row>
    <row r="863">
      <c r="E863" s="13"/>
      <c r="F863" s="13"/>
      <c r="G863" s="13"/>
      <c r="H863" s="13"/>
      <c r="I863" s="13"/>
      <c r="J863" s="13"/>
      <c r="K863" s="13"/>
      <c r="L863" s="13"/>
      <c r="M863" s="13"/>
    </row>
    <row r="864">
      <c r="E864" s="13"/>
      <c r="F864" s="13"/>
      <c r="G864" s="13"/>
      <c r="H864" s="13"/>
      <c r="I864" s="13"/>
      <c r="J864" s="13"/>
      <c r="K864" s="13"/>
      <c r="L864" s="13"/>
      <c r="M864" s="13"/>
    </row>
    <row r="865">
      <c r="E865" s="13"/>
      <c r="F865" s="13"/>
      <c r="G865" s="13"/>
      <c r="H865" s="13"/>
      <c r="I865" s="13"/>
      <c r="J865" s="13"/>
      <c r="K865" s="13"/>
      <c r="L865" s="13"/>
      <c r="M865" s="13"/>
    </row>
    <row r="866">
      <c r="E866" s="13"/>
      <c r="F866" s="13"/>
      <c r="G866" s="13"/>
      <c r="H866" s="13"/>
      <c r="I866" s="13"/>
      <c r="J866" s="13"/>
      <c r="K866" s="13"/>
      <c r="L866" s="13"/>
      <c r="M866" s="13"/>
    </row>
    <row r="867">
      <c r="E867" s="13"/>
      <c r="F867" s="13"/>
      <c r="G867" s="13"/>
      <c r="H867" s="13"/>
      <c r="I867" s="13"/>
      <c r="J867" s="13"/>
      <c r="K867" s="13"/>
      <c r="L867" s="13"/>
      <c r="M867" s="13"/>
    </row>
    <row r="868">
      <c r="E868" s="13"/>
      <c r="F868" s="13"/>
      <c r="G868" s="13"/>
      <c r="H868" s="13"/>
      <c r="I868" s="13"/>
      <c r="J868" s="13"/>
      <c r="K868" s="13"/>
      <c r="L868" s="13"/>
      <c r="M868" s="13"/>
    </row>
    <row r="869">
      <c r="E869" s="13"/>
      <c r="F869" s="13"/>
      <c r="G869" s="13"/>
      <c r="H869" s="13"/>
      <c r="I869" s="13"/>
      <c r="J869" s="13"/>
      <c r="K869" s="13"/>
      <c r="L869" s="13"/>
      <c r="M869" s="13"/>
    </row>
    <row r="870">
      <c r="E870" s="13"/>
      <c r="F870" s="13"/>
      <c r="G870" s="13"/>
      <c r="H870" s="13"/>
      <c r="I870" s="13"/>
      <c r="J870" s="13"/>
      <c r="K870" s="13"/>
      <c r="L870" s="13"/>
      <c r="M870" s="13"/>
    </row>
    <row r="871">
      <c r="E871" s="13"/>
      <c r="F871" s="13"/>
      <c r="G871" s="13"/>
      <c r="H871" s="13"/>
      <c r="I871" s="13"/>
      <c r="J871" s="13"/>
      <c r="K871" s="13"/>
      <c r="L871" s="13"/>
      <c r="M871" s="13"/>
    </row>
    <row r="872">
      <c r="E872" s="13"/>
      <c r="F872" s="13"/>
      <c r="G872" s="13"/>
      <c r="H872" s="13"/>
      <c r="I872" s="13"/>
      <c r="J872" s="13"/>
      <c r="K872" s="13"/>
      <c r="L872" s="13"/>
      <c r="M872" s="13"/>
    </row>
    <row r="873">
      <c r="E873" s="13"/>
      <c r="F873" s="13"/>
      <c r="G873" s="13"/>
      <c r="H873" s="13"/>
      <c r="I873" s="13"/>
      <c r="J873" s="13"/>
      <c r="K873" s="13"/>
      <c r="L873" s="13"/>
      <c r="M873" s="13"/>
    </row>
    <row r="874">
      <c r="E874" s="13"/>
      <c r="F874" s="13"/>
      <c r="G874" s="13"/>
      <c r="H874" s="13"/>
      <c r="I874" s="13"/>
      <c r="J874" s="13"/>
      <c r="K874" s="13"/>
      <c r="L874" s="13"/>
      <c r="M874" s="13"/>
    </row>
    <row r="875">
      <c r="E875" s="13"/>
      <c r="F875" s="13"/>
      <c r="G875" s="13"/>
      <c r="H875" s="13"/>
      <c r="I875" s="13"/>
      <c r="J875" s="13"/>
      <c r="K875" s="13"/>
      <c r="L875" s="13"/>
      <c r="M875" s="13"/>
    </row>
    <row r="876">
      <c r="E876" s="13"/>
      <c r="F876" s="13"/>
      <c r="G876" s="13"/>
      <c r="H876" s="13"/>
      <c r="I876" s="13"/>
      <c r="J876" s="13"/>
      <c r="K876" s="13"/>
      <c r="L876" s="13"/>
      <c r="M876" s="13"/>
    </row>
    <row r="877">
      <c r="E877" s="13"/>
      <c r="F877" s="13"/>
      <c r="G877" s="13"/>
      <c r="H877" s="13"/>
      <c r="I877" s="13"/>
      <c r="J877" s="13"/>
      <c r="K877" s="13"/>
      <c r="L877" s="13"/>
      <c r="M877" s="13"/>
    </row>
    <row r="878">
      <c r="E878" s="13"/>
      <c r="F878" s="13"/>
      <c r="G878" s="13"/>
      <c r="H878" s="13"/>
      <c r="I878" s="13"/>
      <c r="J878" s="13"/>
      <c r="K878" s="13"/>
      <c r="L878" s="13"/>
      <c r="M878" s="13"/>
    </row>
    <row r="879">
      <c r="E879" s="13"/>
      <c r="F879" s="13"/>
      <c r="G879" s="13"/>
      <c r="H879" s="13"/>
      <c r="I879" s="13"/>
      <c r="J879" s="13"/>
      <c r="K879" s="13"/>
      <c r="L879" s="13"/>
      <c r="M879" s="13"/>
    </row>
    <row r="880">
      <c r="E880" s="13"/>
      <c r="F880" s="13"/>
      <c r="G880" s="13"/>
      <c r="H880" s="13"/>
      <c r="I880" s="13"/>
      <c r="J880" s="13"/>
      <c r="K880" s="13"/>
      <c r="L880" s="13"/>
      <c r="M880" s="13"/>
    </row>
    <row r="881">
      <c r="E881" s="13"/>
      <c r="F881" s="13"/>
      <c r="G881" s="13"/>
      <c r="H881" s="13"/>
      <c r="I881" s="13"/>
      <c r="J881" s="13"/>
      <c r="K881" s="13"/>
      <c r="L881" s="13"/>
      <c r="M881" s="13"/>
    </row>
    <row r="882">
      <c r="E882" s="13"/>
      <c r="F882" s="13"/>
      <c r="G882" s="13"/>
      <c r="H882" s="13"/>
      <c r="I882" s="13"/>
      <c r="J882" s="13"/>
      <c r="K882" s="13"/>
      <c r="L882" s="13"/>
      <c r="M882" s="13"/>
    </row>
    <row r="883">
      <c r="E883" s="13"/>
      <c r="F883" s="13"/>
      <c r="G883" s="13"/>
      <c r="H883" s="13"/>
      <c r="I883" s="13"/>
      <c r="J883" s="13"/>
      <c r="K883" s="13"/>
      <c r="L883" s="13"/>
      <c r="M883" s="13"/>
    </row>
    <row r="884">
      <c r="E884" s="13"/>
      <c r="F884" s="13"/>
      <c r="G884" s="13"/>
      <c r="H884" s="13"/>
      <c r="I884" s="13"/>
      <c r="J884" s="13"/>
      <c r="K884" s="13"/>
      <c r="L884" s="13"/>
      <c r="M884" s="13"/>
    </row>
    <row r="885">
      <c r="E885" s="13"/>
      <c r="F885" s="13"/>
      <c r="G885" s="13"/>
      <c r="H885" s="13"/>
      <c r="I885" s="13"/>
      <c r="J885" s="13"/>
      <c r="K885" s="13"/>
      <c r="L885" s="13"/>
      <c r="M885" s="13"/>
    </row>
    <row r="886">
      <c r="E886" s="13"/>
      <c r="F886" s="13"/>
      <c r="G886" s="13"/>
      <c r="H886" s="13"/>
      <c r="I886" s="13"/>
      <c r="J886" s="13"/>
      <c r="K886" s="13"/>
      <c r="L886" s="13"/>
      <c r="M886" s="13"/>
    </row>
    <row r="887">
      <c r="E887" s="13"/>
      <c r="F887" s="13"/>
      <c r="G887" s="13"/>
      <c r="H887" s="13"/>
      <c r="I887" s="13"/>
      <c r="J887" s="13"/>
      <c r="K887" s="13"/>
      <c r="L887" s="13"/>
      <c r="M887" s="13"/>
    </row>
    <row r="888">
      <c r="E888" s="13"/>
      <c r="F888" s="13"/>
      <c r="G888" s="13"/>
      <c r="H888" s="13"/>
      <c r="I888" s="13"/>
      <c r="J888" s="13"/>
      <c r="K888" s="13"/>
      <c r="L888" s="13"/>
      <c r="M888" s="13"/>
    </row>
    <row r="889">
      <c r="E889" s="13"/>
      <c r="F889" s="13"/>
      <c r="G889" s="13"/>
      <c r="H889" s="13"/>
      <c r="I889" s="13"/>
      <c r="J889" s="13"/>
      <c r="K889" s="13"/>
      <c r="L889" s="13"/>
      <c r="M889" s="13"/>
    </row>
    <row r="890">
      <c r="E890" s="13"/>
      <c r="F890" s="13"/>
      <c r="G890" s="13"/>
      <c r="H890" s="13"/>
      <c r="I890" s="13"/>
      <c r="J890" s="13"/>
      <c r="K890" s="13"/>
      <c r="L890" s="13"/>
      <c r="M890" s="13"/>
    </row>
    <row r="891">
      <c r="E891" s="13"/>
      <c r="F891" s="13"/>
      <c r="G891" s="13"/>
      <c r="H891" s="13"/>
      <c r="I891" s="13"/>
      <c r="J891" s="13"/>
      <c r="K891" s="13"/>
      <c r="L891" s="13"/>
      <c r="M891" s="13"/>
    </row>
    <row r="892">
      <c r="E892" s="13"/>
      <c r="F892" s="13"/>
      <c r="G892" s="13"/>
      <c r="H892" s="13"/>
      <c r="I892" s="13"/>
      <c r="J892" s="13"/>
      <c r="K892" s="13"/>
      <c r="L892" s="13"/>
      <c r="M892" s="13"/>
    </row>
    <row r="893">
      <c r="E893" s="13"/>
      <c r="F893" s="13"/>
      <c r="G893" s="13"/>
      <c r="H893" s="13"/>
      <c r="I893" s="13"/>
      <c r="J893" s="13"/>
      <c r="K893" s="13"/>
      <c r="L893" s="13"/>
      <c r="M893" s="13"/>
    </row>
    <row r="894">
      <c r="E894" s="13"/>
      <c r="F894" s="13"/>
      <c r="G894" s="13"/>
      <c r="H894" s="13"/>
      <c r="I894" s="13"/>
      <c r="J894" s="13"/>
      <c r="K894" s="13"/>
      <c r="L894" s="13"/>
      <c r="M894" s="13"/>
    </row>
    <row r="895">
      <c r="E895" s="13"/>
      <c r="F895" s="13"/>
      <c r="G895" s="13"/>
      <c r="H895" s="13"/>
      <c r="I895" s="13"/>
      <c r="J895" s="13"/>
      <c r="K895" s="13"/>
      <c r="L895" s="13"/>
      <c r="M895" s="13"/>
    </row>
    <row r="896">
      <c r="E896" s="13"/>
      <c r="F896" s="13"/>
      <c r="G896" s="13"/>
      <c r="H896" s="13"/>
      <c r="I896" s="13"/>
      <c r="J896" s="13"/>
      <c r="K896" s="13"/>
      <c r="L896" s="13"/>
      <c r="M896" s="13"/>
    </row>
    <row r="897">
      <c r="E897" s="13"/>
      <c r="F897" s="13"/>
      <c r="G897" s="13"/>
      <c r="H897" s="13"/>
      <c r="I897" s="13"/>
      <c r="J897" s="13"/>
      <c r="K897" s="13"/>
      <c r="L897" s="13"/>
      <c r="M897" s="13"/>
    </row>
    <row r="898">
      <c r="E898" s="13"/>
      <c r="F898" s="13"/>
      <c r="G898" s="13"/>
      <c r="H898" s="13"/>
      <c r="I898" s="13"/>
      <c r="J898" s="13"/>
      <c r="K898" s="13"/>
      <c r="L898" s="13"/>
      <c r="M898" s="13"/>
    </row>
    <row r="899">
      <c r="E899" s="13"/>
      <c r="F899" s="13"/>
      <c r="G899" s="13"/>
      <c r="H899" s="13"/>
      <c r="I899" s="13"/>
      <c r="J899" s="13"/>
      <c r="K899" s="13"/>
      <c r="L899" s="13"/>
      <c r="M899" s="13"/>
    </row>
    <row r="900">
      <c r="E900" s="13"/>
      <c r="F900" s="13"/>
      <c r="G900" s="13"/>
      <c r="H900" s="13"/>
      <c r="I900" s="13"/>
      <c r="J900" s="13"/>
      <c r="K900" s="13"/>
      <c r="L900" s="13"/>
      <c r="M900" s="13"/>
    </row>
    <row r="901">
      <c r="E901" s="13"/>
      <c r="F901" s="13"/>
      <c r="G901" s="13"/>
      <c r="H901" s="13"/>
      <c r="I901" s="13"/>
      <c r="J901" s="13"/>
      <c r="K901" s="13"/>
      <c r="L901" s="13"/>
      <c r="M901" s="13"/>
    </row>
    <row r="902">
      <c r="E902" s="13"/>
      <c r="F902" s="13"/>
      <c r="G902" s="13"/>
      <c r="H902" s="13"/>
      <c r="I902" s="13"/>
      <c r="J902" s="13"/>
      <c r="K902" s="13"/>
      <c r="L902" s="13"/>
      <c r="M902" s="13"/>
    </row>
    <row r="903">
      <c r="E903" s="13"/>
      <c r="F903" s="13"/>
      <c r="G903" s="13"/>
      <c r="H903" s="13"/>
      <c r="I903" s="13"/>
      <c r="J903" s="13"/>
      <c r="K903" s="13"/>
      <c r="L903" s="13"/>
      <c r="M903" s="13"/>
    </row>
    <row r="904">
      <c r="E904" s="13"/>
      <c r="F904" s="13"/>
      <c r="G904" s="13"/>
      <c r="H904" s="13"/>
      <c r="I904" s="13"/>
      <c r="J904" s="13"/>
      <c r="K904" s="13"/>
      <c r="L904" s="13"/>
      <c r="M904" s="13"/>
    </row>
    <row r="905">
      <c r="E905" s="13"/>
      <c r="F905" s="13"/>
      <c r="G905" s="13"/>
      <c r="H905" s="13"/>
      <c r="I905" s="13"/>
      <c r="J905" s="13"/>
      <c r="K905" s="13"/>
      <c r="L905" s="13"/>
      <c r="M905" s="13"/>
    </row>
    <row r="906">
      <c r="E906" s="13"/>
      <c r="F906" s="13"/>
      <c r="G906" s="13"/>
      <c r="H906" s="13"/>
      <c r="I906" s="13"/>
      <c r="J906" s="13"/>
      <c r="K906" s="13"/>
      <c r="L906" s="13"/>
      <c r="M906" s="13"/>
    </row>
    <row r="907">
      <c r="E907" s="13"/>
      <c r="F907" s="13"/>
      <c r="G907" s="13"/>
      <c r="H907" s="13"/>
      <c r="I907" s="13"/>
      <c r="J907" s="13"/>
      <c r="K907" s="13"/>
      <c r="L907" s="13"/>
      <c r="M907" s="13"/>
    </row>
    <row r="908">
      <c r="E908" s="13"/>
      <c r="F908" s="13"/>
      <c r="G908" s="13"/>
      <c r="H908" s="13"/>
      <c r="I908" s="13"/>
      <c r="J908" s="13"/>
      <c r="K908" s="13"/>
      <c r="L908" s="13"/>
      <c r="M908" s="13"/>
    </row>
    <row r="909">
      <c r="E909" s="13"/>
      <c r="F909" s="13"/>
      <c r="G909" s="13"/>
      <c r="H909" s="13"/>
      <c r="I909" s="13"/>
      <c r="J909" s="13"/>
      <c r="K909" s="13"/>
      <c r="L909" s="13"/>
      <c r="M909" s="13"/>
    </row>
    <row r="910">
      <c r="E910" s="13"/>
      <c r="F910" s="13"/>
      <c r="G910" s="13"/>
      <c r="H910" s="13"/>
      <c r="I910" s="13"/>
      <c r="J910" s="13"/>
      <c r="K910" s="13"/>
      <c r="L910" s="13"/>
      <c r="M910" s="13"/>
    </row>
    <row r="911">
      <c r="E911" s="13"/>
      <c r="F911" s="13"/>
      <c r="G911" s="13"/>
      <c r="H911" s="13"/>
      <c r="I911" s="13"/>
      <c r="J911" s="13"/>
      <c r="K911" s="13"/>
      <c r="L911" s="13"/>
      <c r="M911" s="13"/>
    </row>
    <row r="912">
      <c r="E912" s="13"/>
      <c r="F912" s="13"/>
      <c r="G912" s="13"/>
      <c r="H912" s="13"/>
      <c r="I912" s="13"/>
      <c r="J912" s="13"/>
      <c r="K912" s="13"/>
      <c r="L912" s="13"/>
      <c r="M912" s="13"/>
    </row>
    <row r="913">
      <c r="E913" s="13"/>
      <c r="F913" s="13"/>
      <c r="G913" s="13"/>
      <c r="H913" s="13"/>
      <c r="I913" s="13"/>
      <c r="J913" s="13"/>
      <c r="K913" s="13"/>
      <c r="L913" s="13"/>
      <c r="M913" s="13"/>
    </row>
    <row r="914">
      <c r="E914" s="13"/>
      <c r="F914" s="13"/>
      <c r="G914" s="13"/>
      <c r="H914" s="13"/>
      <c r="I914" s="13"/>
      <c r="J914" s="13"/>
      <c r="K914" s="13"/>
      <c r="L914" s="13"/>
      <c r="M914" s="13"/>
    </row>
    <row r="915">
      <c r="E915" s="13"/>
      <c r="F915" s="13"/>
      <c r="G915" s="13"/>
      <c r="H915" s="13"/>
      <c r="I915" s="13"/>
      <c r="J915" s="13"/>
      <c r="K915" s="13"/>
      <c r="L915" s="13"/>
      <c r="M915" s="13"/>
    </row>
    <row r="916">
      <c r="E916" s="13"/>
      <c r="F916" s="13"/>
      <c r="G916" s="13"/>
      <c r="H916" s="13"/>
      <c r="I916" s="13"/>
      <c r="J916" s="13"/>
      <c r="K916" s="13"/>
      <c r="L916" s="13"/>
      <c r="M916" s="13"/>
    </row>
    <row r="917">
      <c r="E917" s="13"/>
      <c r="F917" s="13"/>
      <c r="G917" s="13"/>
      <c r="H917" s="13"/>
      <c r="I917" s="13"/>
      <c r="J917" s="13"/>
      <c r="K917" s="13"/>
      <c r="L917" s="13"/>
      <c r="M917" s="13"/>
    </row>
    <row r="918">
      <c r="E918" s="13"/>
      <c r="F918" s="13"/>
      <c r="G918" s="13"/>
      <c r="H918" s="13"/>
      <c r="I918" s="13"/>
      <c r="J918" s="13"/>
      <c r="K918" s="13"/>
      <c r="L918" s="13"/>
      <c r="M918" s="13"/>
    </row>
    <row r="919">
      <c r="E919" s="13"/>
      <c r="F919" s="13"/>
      <c r="G919" s="13"/>
      <c r="H919" s="13"/>
      <c r="I919" s="13"/>
      <c r="J919" s="13"/>
      <c r="K919" s="13"/>
      <c r="L919" s="13"/>
      <c r="M919" s="13"/>
    </row>
    <row r="920">
      <c r="E920" s="13"/>
      <c r="F920" s="13"/>
      <c r="G920" s="13"/>
      <c r="H920" s="13"/>
      <c r="I920" s="13"/>
      <c r="J920" s="13"/>
      <c r="K920" s="13"/>
      <c r="L920" s="13"/>
      <c r="M920" s="13"/>
    </row>
    <row r="921">
      <c r="E921" s="13"/>
      <c r="F921" s="13"/>
      <c r="G921" s="13"/>
      <c r="H921" s="13"/>
      <c r="I921" s="13"/>
      <c r="J921" s="13"/>
      <c r="K921" s="13"/>
      <c r="L921" s="13"/>
      <c r="M921" s="13"/>
    </row>
    <row r="922">
      <c r="E922" s="13"/>
      <c r="F922" s="13"/>
      <c r="G922" s="13"/>
      <c r="H922" s="13"/>
      <c r="I922" s="13"/>
      <c r="J922" s="13"/>
      <c r="K922" s="13"/>
      <c r="L922" s="13"/>
      <c r="M922" s="13"/>
    </row>
    <row r="923">
      <c r="E923" s="13"/>
      <c r="F923" s="13"/>
      <c r="G923" s="13"/>
      <c r="H923" s="13"/>
      <c r="I923" s="13"/>
      <c r="J923" s="13"/>
      <c r="K923" s="13"/>
      <c r="L923" s="13"/>
      <c r="M923" s="13"/>
    </row>
    <row r="924">
      <c r="E924" s="13"/>
      <c r="F924" s="13"/>
      <c r="G924" s="13"/>
      <c r="H924" s="13"/>
      <c r="I924" s="13"/>
      <c r="J924" s="13"/>
      <c r="K924" s="13"/>
      <c r="L924" s="13"/>
      <c r="M924" s="13"/>
    </row>
    <row r="925">
      <c r="E925" s="13"/>
      <c r="F925" s="13"/>
      <c r="G925" s="13"/>
      <c r="H925" s="13"/>
      <c r="I925" s="13"/>
      <c r="J925" s="13"/>
      <c r="K925" s="13"/>
      <c r="L925" s="13"/>
      <c r="M925" s="13"/>
    </row>
    <row r="926">
      <c r="E926" s="13"/>
      <c r="F926" s="13"/>
      <c r="G926" s="13"/>
      <c r="H926" s="13"/>
      <c r="I926" s="13"/>
      <c r="J926" s="13"/>
      <c r="K926" s="13"/>
      <c r="L926" s="13"/>
      <c r="M926" s="13"/>
    </row>
    <row r="927">
      <c r="E927" s="13"/>
      <c r="F927" s="13"/>
      <c r="G927" s="13"/>
      <c r="H927" s="13"/>
      <c r="I927" s="13"/>
      <c r="J927" s="13"/>
      <c r="K927" s="13"/>
      <c r="L927" s="13"/>
      <c r="M927" s="13"/>
    </row>
    <row r="928">
      <c r="E928" s="13"/>
      <c r="F928" s="13"/>
      <c r="G928" s="13"/>
      <c r="H928" s="13"/>
      <c r="I928" s="13"/>
      <c r="J928" s="13"/>
      <c r="K928" s="13"/>
      <c r="L928" s="13"/>
      <c r="M928" s="13"/>
    </row>
    <row r="929">
      <c r="E929" s="13"/>
      <c r="F929" s="13"/>
      <c r="G929" s="13"/>
      <c r="H929" s="13"/>
      <c r="I929" s="13"/>
      <c r="J929" s="13"/>
      <c r="K929" s="13"/>
      <c r="L929" s="13"/>
      <c r="M929" s="13"/>
    </row>
    <row r="930">
      <c r="E930" s="13"/>
      <c r="F930" s="13"/>
      <c r="G930" s="13"/>
      <c r="H930" s="13"/>
      <c r="I930" s="13"/>
      <c r="J930" s="13"/>
      <c r="K930" s="13"/>
      <c r="L930" s="13"/>
      <c r="M930" s="13"/>
    </row>
    <row r="931">
      <c r="E931" s="13"/>
      <c r="F931" s="13"/>
      <c r="G931" s="13"/>
      <c r="H931" s="13"/>
      <c r="I931" s="13"/>
      <c r="J931" s="13"/>
      <c r="K931" s="13"/>
      <c r="L931" s="13"/>
      <c r="M931" s="13"/>
    </row>
    <row r="932">
      <c r="E932" s="13"/>
      <c r="F932" s="13"/>
      <c r="G932" s="13"/>
      <c r="H932" s="13"/>
      <c r="I932" s="13"/>
      <c r="J932" s="13"/>
      <c r="K932" s="13"/>
      <c r="L932" s="13"/>
      <c r="M932" s="13"/>
    </row>
    <row r="933">
      <c r="E933" s="13"/>
      <c r="F933" s="13"/>
      <c r="G933" s="13"/>
      <c r="H933" s="13"/>
      <c r="I933" s="13"/>
      <c r="J933" s="13"/>
      <c r="K933" s="13"/>
      <c r="L933" s="13"/>
      <c r="M933" s="13"/>
    </row>
    <row r="934">
      <c r="E934" s="13"/>
      <c r="F934" s="13"/>
      <c r="G934" s="13"/>
      <c r="H934" s="13"/>
      <c r="I934" s="13"/>
      <c r="J934" s="13"/>
      <c r="K934" s="13"/>
      <c r="L934" s="13"/>
      <c r="M934" s="13"/>
    </row>
    <row r="935">
      <c r="E935" s="13"/>
      <c r="F935" s="13"/>
      <c r="G935" s="13"/>
      <c r="H935" s="13"/>
      <c r="I935" s="13"/>
      <c r="J935" s="13"/>
      <c r="K935" s="13"/>
      <c r="L935" s="13"/>
      <c r="M935" s="13"/>
    </row>
    <row r="936">
      <c r="E936" s="13"/>
      <c r="F936" s="13"/>
      <c r="G936" s="13"/>
      <c r="H936" s="13"/>
      <c r="I936" s="13"/>
      <c r="J936" s="13"/>
      <c r="K936" s="13"/>
      <c r="L936" s="13"/>
      <c r="M936" s="13"/>
    </row>
    <row r="937">
      <c r="E937" s="13"/>
      <c r="F937" s="13"/>
      <c r="G937" s="13"/>
      <c r="H937" s="13"/>
      <c r="I937" s="13"/>
      <c r="J937" s="13"/>
      <c r="K937" s="13"/>
      <c r="L937" s="13"/>
      <c r="M937" s="13"/>
    </row>
    <row r="938">
      <c r="E938" s="13"/>
      <c r="F938" s="13"/>
      <c r="G938" s="13"/>
      <c r="H938" s="13"/>
      <c r="I938" s="13"/>
      <c r="J938" s="13"/>
      <c r="K938" s="13"/>
      <c r="L938" s="13"/>
      <c r="M938" s="13"/>
    </row>
    <row r="939">
      <c r="E939" s="13"/>
      <c r="F939" s="13"/>
      <c r="G939" s="13"/>
      <c r="H939" s="13"/>
      <c r="I939" s="13"/>
      <c r="J939" s="13"/>
      <c r="K939" s="13"/>
      <c r="L939" s="13"/>
      <c r="M939" s="13"/>
    </row>
    <row r="940">
      <c r="E940" s="13"/>
      <c r="F940" s="13"/>
      <c r="G940" s="13"/>
      <c r="H940" s="13"/>
      <c r="I940" s="13"/>
      <c r="J940" s="13"/>
      <c r="K940" s="13"/>
      <c r="L940" s="13"/>
      <c r="M940" s="13"/>
    </row>
    <row r="941">
      <c r="E941" s="13"/>
      <c r="F941" s="13"/>
      <c r="G941" s="13"/>
      <c r="H941" s="13"/>
      <c r="I941" s="13"/>
      <c r="J941" s="13"/>
      <c r="K941" s="13"/>
      <c r="L941" s="13"/>
      <c r="M941" s="13"/>
    </row>
    <row r="942">
      <c r="E942" s="13"/>
      <c r="F942" s="13"/>
      <c r="G942" s="13"/>
      <c r="H942" s="13"/>
      <c r="I942" s="13"/>
      <c r="J942" s="13"/>
      <c r="K942" s="13"/>
      <c r="L942" s="13"/>
      <c r="M942" s="13"/>
    </row>
    <row r="943">
      <c r="E943" s="13"/>
      <c r="F943" s="13"/>
      <c r="G943" s="13"/>
      <c r="H943" s="13"/>
      <c r="I943" s="13"/>
      <c r="J943" s="13"/>
      <c r="K943" s="13"/>
      <c r="L943" s="13"/>
      <c r="M943" s="13"/>
    </row>
    <row r="944">
      <c r="E944" s="13"/>
      <c r="F944" s="13"/>
      <c r="G944" s="13"/>
      <c r="H944" s="13"/>
      <c r="I944" s="13"/>
      <c r="J944" s="13"/>
      <c r="K944" s="13"/>
      <c r="L944" s="13"/>
      <c r="M944" s="13"/>
    </row>
    <row r="945">
      <c r="E945" s="13"/>
      <c r="F945" s="13"/>
      <c r="G945" s="13"/>
      <c r="H945" s="13"/>
      <c r="I945" s="13"/>
      <c r="J945" s="13"/>
      <c r="K945" s="13"/>
      <c r="L945" s="13"/>
      <c r="M945" s="13"/>
    </row>
    <row r="946">
      <c r="E946" s="13"/>
      <c r="F946" s="13"/>
      <c r="G946" s="13"/>
      <c r="H946" s="13"/>
      <c r="I946" s="13"/>
      <c r="J946" s="13"/>
      <c r="K946" s="13"/>
      <c r="L946" s="13"/>
      <c r="M946" s="13"/>
    </row>
    <row r="947">
      <c r="E947" s="13"/>
      <c r="F947" s="13"/>
      <c r="G947" s="13"/>
      <c r="H947" s="13"/>
      <c r="I947" s="13"/>
      <c r="J947" s="13"/>
      <c r="K947" s="13"/>
      <c r="L947" s="13"/>
      <c r="M947" s="13"/>
    </row>
    <row r="948">
      <c r="E948" s="13"/>
      <c r="F948" s="13"/>
      <c r="G948" s="13"/>
      <c r="H948" s="13"/>
      <c r="I948" s="13"/>
      <c r="J948" s="13"/>
      <c r="K948" s="13"/>
      <c r="L948" s="13"/>
      <c r="M948" s="13"/>
    </row>
    <row r="949">
      <c r="E949" s="13"/>
      <c r="F949" s="13"/>
      <c r="G949" s="13"/>
      <c r="H949" s="13"/>
      <c r="I949" s="13"/>
      <c r="J949" s="13"/>
      <c r="K949" s="13"/>
      <c r="L949" s="13"/>
      <c r="M949" s="13"/>
    </row>
    <row r="950">
      <c r="E950" s="13"/>
      <c r="F950" s="13"/>
      <c r="G950" s="13"/>
      <c r="H950" s="13"/>
      <c r="I950" s="13"/>
      <c r="J950" s="13"/>
      <c r="K950" s="13"/>
      <c r="L950" s="13"/>
      <c r="M950" s="13"/>
    </row>
    <row r="951">
      <c r="E951" s="13"/>
      <c r="F951" s="13"/>
      <c r="G951" s="13"/>
      <c r="H951" s="13"/>
      <c r="I951" s="13"/>
      <c r="J951" s="13"/>
      <c r="K951" s="13"/>
      <c r="L951" s="13"/>
      <c r="M951" s="13"/>
    </row>
    <row r="952">
      <c r="E952" s="13"/>
      <c r="F952" s="13"/>
      <c r="G952" s="13"/>
      <c r="H952" s="13"/>
      <c r="I952" s="13"/>
      <c r="J952" s="13"/>
      <c r="K952" s="13"/>
      <c r="L952" s="13"/>
      <c r="M952" s="13"/>
    </row>
    <row r="953">
      <c r="E953" s="13"/>
      <c r="F953" s="13"/>
      <c r="G953" s="13"/>
      <c r="H953" s="13"/>
      <c r="I953" s="13"/>
      <c r="J953" s="13"/>
      <c r="K953" s="13"/>
      <c r="L953" s="13"/>
      <c r="M953" s="13"/>
    </row>
    <row r="954">
      <c r="E954" s="13"/>
      <c r="F954" s="13"/>
      <c r="G954" s="13"/>
      <c r="H954" s="13"/>
      <c r="I954" s="13"/>
      <c r="J954" s="13"/>
      <c r="K954" s="13"/>
      <c r="L954" s="13"/>
      <c r="M954" s="13"/>
    </row>
    <row r="955">
      <c r="E955" s="13"/>
      <c r="F955" s="13"/>
      <c r="G955" s="13"/>
      <c r="H955" s="13"/>
      <c r="I955" s="13"/>
      <c r="J955" s="13"/>
      <c r="K955" s="13"/>
      <c r="L955" s="13"/>
      <c r="M955" s="13"/>
    </row>
    <row r="956">
      <c r="E956" s="13"/>
      <c r="F956" s="13"/>
      <c r="G956" s="13"/>
      <c r="H956" s="13"/>
      <c r="I956" s="13"/>
      <c r="J956" s="13"/>
      <c r="K956" s="13"/>
      <c r="L956" s="13"/>
      <c r="M956" s="13"/>
    </row>
    <row r="957">
      <c r="E957" s="13"/>
      <c r="F957" s="13"/>
      <c r="G957" s="13"/>
      <c r="H957" s="13"/>
      <c r="I957" s="13"/>
      <c r="J957" s="13"/>
      <c r="K957" s="13"/>
      <c r="L957" s="13"/>
      <c r="M957" s="13"/>
    </row>
    <row r="958">
      <c r="E958" s="13"/>
      <c r="F958" s="13"/>
      <c r="G958" s="13"/>
      <c r="H958" s="13"/>
      <c r="I958" s="13"/>
      <c r="J958" s="13"/>
      <c r="K958" s="13"/>
      <c r="L958" s="13"/>
      <c r="M958" s="13"/>
    </row>
    <row r="959">
      <c r="E959" s="13"/>
      <c r="F959" s="13"/>
      <c r="G959" s="13"/>
      <c r="H959" s="13"/>
      <c r="I959" s="13"/>
      <c r="J959" s="13"/>
      <c r="K959" s="13"/>
      <c r="L959" s="13"/>
      <c r="M959" s="13"/>
    </row>
    <row r="960">
      <c r="E960" s="13"/>
      <c r="F960" s="13"/>
      <c r="G960" s="13"/>
      <c r="H960" s="13"/>
      <c r="I960" s="13"/>
      <c r="J960" s="13"/>
      <c r="K960" s="13"/>
      <c r="L960" s="13"/>
      <c r="M960" s="13"/>
    </row>
    <row r="961">
      <c r="E961" s="13"/>
      <c r="F961" s="13"/>
      <c r="G961" s="13"/>
      <c r="H961" s="13"/>
      <c r="I961" s="13"/>
      <c r="J961" s="13"/>
      <c r="K961" s="13"/>
      <c r="L961" s="13"/>
      <c r="M961" s="13"/>
    </row>
    <row r="962">
      <c r="E962" s="13"/>
      <c r="F962" s="13"/>
      <c r="G962" s="13"/>
      <c r="H962" s="13"/>
      <c r="I962" s="13"/>
      <c r="J962" s="13"/>
      <c r="K962" s="13"/>
      <c r="L962" s="13"/>
      <c r="M962" s="13"/>
    </row>
    <row r="963">
      <c r="E963" s="13"/>
      <c r="F963" s="13"/>
      <c r="G963" s="13"/>
      <c r="H963" s="13"/>
      <c r="I963" s="13"/>
      <c r="J963" s="13"/>
      <c r="K963" s="13"/>
      <c r="L963" s="13"/>
      <c r="M963" s="13"/>
    </row>
    <row r="964">
      <c r="E964" s="13"/>
      <c r="F964" s="13"/>
      <c r="G964" s="13"/>
      <c r="H964" s="13"/>
      <c r="I964" s="13"/>
      <c r="J964" s="13"/>
      <c r="K964" s="13"/>
      <c r="L964" s="13"/>
      <c r="M964" s="13"/>
    </row>
    <row r="965">
      <c r="E965" s="13"/>
      <c r="F965" s="13"/>
      <c r="G965" s="13"/>
      <c r="H965" s="13"/>
      <c r="I965" s="13"/>
      <c r="J965" s="13"/>
      <c r="K965" s="13"/>
      <c r="L965" s="13"/>
      <c r="M965" s="13"/>
    </row>
    <row r="966">
      <c r="E966" s="13"/>
      <c r="F966" s="13"/>
      <c r="G966" s="13"/>
      <c r="H966" s="13"/>
      <c r="I966" s="13"/>
      <c r="J966" s="13"/>
      <c r="K966" s="13"/>
      <c r="L966" s="13"/>
      <c r="M966" s="13"/>
    </row>
    <row r="967">
      <c r="E967" s="13"/>
      <c r="F967" s="13"/>
      <c r="G967" s="13"/>
      <c r="H967" s="13"/>
      <c r="I967" s="13"/>
      <c r="J967" s="13"/>
      <c r="K967" s="13"/>
      <c r="L967" s="13"/>
      <c r="M967" s="13"/>
    </row>
    <row r="968">
      <c r="E968" s="13"/>
      <c r="F968" s="13"/>
      <c r="G968" s="13"/>
      <c r="H968" s="13"/>
      <c r="I968" s="13"/>
      <c r="J968" s="13"/>
      <c r="K968" s="13"/>
      <c r="L968" s="13"/>
      <c r="M968" s="13"/>
    </row>
    <row r="969">
      <c r="E969" s="13"/>
      <c r="F969" s="13"/>
      <c r="G969" s="13"/>
      <c r="H969" s="13"/>
      <c r="I969" s="13"/>
      <c r="J969" s="13"/>
      <c r="K969" s="13"/>
      <c r="L969" s="13"/>
      <c r="M969" s="13"/>
    </row>
    <row r="970">
      <c r="E970" s="13"/>
      <c r="F970" s="13"/>
      <c r="G970" s="13"/>
      <c r="H970" s="13"/>
      <c r="I970" s="13"/>
      <c r="J970" s="13"/>
      <c r="K970" s="13"/>
      <c r="L970" s="13"/>
      <c r="M970" s="13"/>
    </row>
    <row r="971">
      <c r="E971" s="13"/>
      <c r="F971" s="13"/>
      <c r="G971" s="13"/>
      <c r="H971" s="13"/>
      <c r="I971" s="13"/>
      <c r="J971" s="13"/>
      <c r="K971" s="13"/>
      <c r="L971" s="13"/>
      <c r="M971" s="13"/>
    </row>
    <row r="972">
      <c r="E972" s="13"/>
      <c r="F972" s="13"/>
      <c r="G972" s="13"/>
      <c r="H972" s="13"/>
      <c r="I972" s="13"/>
      <c r="J972" s="13"/>
      <c r="K972" s="13"/>
      <c r="L972" s="13"/>
      <c r="M972" s="13"/>
    </row>
    <row r="973">
      <c r="E973" s="13"/>
      <c r="F973" s="13"/>
      <c r="G973" s="13"/>
      <c r="H973" s="13"/>
      <c r="I973" s="13"/>
      <c r="J973" s="13"/>
      <c r="K973" s="13"/>
      <c r="L973" s="13"/>
      <c r="M973" s="13"/>
    </row>
    <row r="974">
      <c r="E974" s="13"/>
      <c r="F974" s="13"/>
      <c r="G974" s="13"/>
      <c r="H974" s="13"/>
      <c r="I974" s="13"/>
      <c r="J974" s="13"/>
      <c r="K974" s="13"/>
      <c r="L974" s="13"/>
      <c r="M974" s="13"/>
    </row>
    <row r="975">
      <c r="E975" s="13"/>
      <c r="F975" s="13"/>
      <c r="G975" s="13"/>
      <c r="H975" s="13"/>
      <c r="I975" s="13"/>
      <c r="J975" s="13"/>
      <c r="K975" s="13"/>
      <c r="L975" s="13"/>
      <c r="M975" s="13"/>
    </row>
    <row r="976">
      <c r="E976" s="13"/>
      <c r="F976" s="13"/>
      <c r="G976" s="13"/>
      <c r="H976" s="13"/>
      <c r="I976" s="13"/>
      <c r="J976" s="13"/>
      <c r="K976" s="13"/>
      <c r="L976" s="13"/>
      <c r="M976" s="13"/>
    </row>
    <row r="977">
      <c r="E977" s="13"/>
      <c r="F977" s="13"/>
      <c r="G977" s="13"/>
      <c r="H977" s="13"/>
      <c r="I977" s="13"/>
      <c r="J977" s="13"/>
      <c r="K977" s="13"/>
      <c r="L977" s="13"/>
      <c r="M977" s="13"/>
    </row>
    <row r="978">
      <c r="E978" s="13"/>
      <c r="F978" s="13"/>
      <c r="G978" s="13"/>
      <c r="H978" s="13"/>
      <c r="I978" s="13"/>
      <c r="J978" s="13"/>
      <c r="K978" s="13"/>
      <c r="L978" s="13"/>
      <c r="M978" s="13"/>
    </row>
    <row r="979">
      <c r="E979" s="13"/>
      <c r="F979" s="13"/>
      <c r="G979" s="13"/>
      <c r="H979" s="13"/>
      <c r="I979" s="13"/>
      <c r="J979" s="13"/>
      <c r="K979" s="13"/>
      <c r="L979" s="13"/>
      <c r="M979" s="13"/>
    </row>
    <row r="980">
      <c r="E980" s="13"/>
      <c r="F980" s="13"/>
      <c r="G980" s="13"/>
      <c r="H980" s="13"/>
      <c r="I980" s="13"/>
      <c r="J980" s="13"/>
      <c r="K980" s="13"/>
      <c r="L980" s="13"/>
      <c r="M980" s="13"/>
    </row>
    <row r="981">
      <c r="E981" s="13"/>
      <c r="F981" s="13"/>
      <c r="G981" s="13"/>
      <c r="H981" s="13"/>
      <c r="I981" s="13"/>
      <c r="J981" s="13"/>
      <c r="K981" s="13"/>
      <c r="L981" s="13"/>
      <c r="M981" s="13"/>
    </row>
    <row r="982">
      <c r="E982" s="13"/>
      <c r="F982" s="13"/>
      <c r="G982" s="13"/>
      <c r="H982" s="13"/>
      <c r="I982" s="13"/>
      <c r="J982" s="13"/>
      <c r="K982" s="13"/>
      <c r="L982" s="13"/>
      <c r="M982" s="13"/>
    </row>
    <row r="983">
      <c r="E983" s="13"/>
      <c r="F983" s="13"/>
      <c r="G983" s="13"/>
      <c r="H983" s="13"/>
      <c r="I983" s="13"/>
      <c r="J983" s="13"/>
      <c r="K983" s="13"/>
      <c r="L983" s="13"/>
      <c r="M983" s="13"/>
    </row>
    <row r="984">
      <c r="E984" s="13"/>
      <c r="F984" s="13"/>
      <c r="G984" s="13"/>
      <c r="H984" s="13"/>
      <c r="I984" s="13"/>
      <c r="J984" s="13"/>
      <c r="K984" s="13"/>
      <c r="L984" s="13"/>
      <c r="M984" s="13"/>
    </row>
    <row r="985">
      <c r="E985" s="13"/>
      <c r="F985" s="13"/>
      <c r="G985" s="13"/>
      <c r="H985" s="13"/>
      <c r="I985" s="13"/>
      <c r="J985" s="13"/>
      <c r="K985" s="13"/>
      <c r="L985" s="13"/>
      <c r="M985" s="13"/>
    </row>
    <row r="986">
      <c r="E986" s="13"/>
      <c r="F986" s="13"/>
      <c r="G986" s="13"/>
      <c r="H986" s="13"/>
      <c r="I986" s="13"/>
      <c r="J986" s="13"/>
      <c r="K986" s="13"/>
      <c r="L986" s="13"/>
      <c r="M986" s="13"/>
    </row>
    <row r="987">
      <c r="E987" s="13"/>
      <c r="F987" s="13"/>
      <c r="G987" s="13"/>
      <c r="H987" s="13"/>
      <c r="I987" s="13"/>
      <c r="J987" s="13"/>
      <c r="K987" s="13"/>
      <c r="L987" s="13"/>
      <c r="M987" s="13"/>
    </row>
    <row r="988">
      <c r="E988" s="13"/>
      <c r="F988" s="13"/>
      <c r="G988" s="13"/>
      <c r="H988" s="13"/>
      <c r="I988" s="13"/>
      <c r="J988" s="13"/>
      <c r="K988" s="13"/>
      <c r="L988" s="13"/>
      <c r="M988" s="13"/>
    </row>
    <row r="989">
      <c r="E989" s="13"/>
      <c r="F989" s="13"/>
      <c r="G989" s="13"/>
      <c r="H989" s="13"/>
      <c r="I989" s="13"/>
      <c r="J989" s="13"/>
      <c r="K989" s="13"/>
      <c r="L989" s="13"/>
      <c r="M989" s="13"/>
    </row>
    <row r="990">
      <c r="E990" s="13"/>
      <c r="F990" s="13"/>
      <c r="G990" s="13"/>
      <c r="H990" s="13"/>
      <c r="I990" s="13"/>
      <c r="J990" s="13"/>
      <c r="K990" s="13"/>
      <c r="L990" s="13"/>
      <c r="M990" s="13"/>
    </row>
    <row r="991">
      <c r="E991" s="13"/>
      <c r="F991" s="13"/>
      <c r="G991" s="13"/>
      <c r="H991" s="13"/>
      <c r="I991" s="13"/>
      <c r="J991" s="13"/>
      <c r="K991" s="13"/>
      <c r="L991" s="13"/>
      <c r="M991" s="13"/>
    </row>
    <row r="992">
      <c r="E992" s="13"/>
      <c r="F992" s="13"/>
      <c r="G992" s="13"/>
      <c r="H992" s="13"/>
      <c r="I992" s="13"/>
      <c r="J992" s="13"/>
      <c r="K992" s="13"/>
      <c r="L992" s="13"/>
      <c r="M992" s="13"/>
    </row>
    <row r="993">
      <c r="E993" s="13"/>
      <c r="F993" s="13"/>
      <c r="G993" s="13"/>
      <c r="H993" s="13"/>
      <c r="I993" s="13"/>
      <c r="J993" s="13"/>
      <c r="K993" s="13"/>
      <c r="L993" s="13"/>
      <c r="M993" s="13"/>
    </row>
    <row r="994">
      <c r="E994" s="13"/>
      <c r="F994" s="13"/>
      <c r="G994" s="13"/>
      <c r="H994" s="13"/>
      <c r="I994" s="13"/>
      <c r="J994" s="13"/>
      <c r="K994" s="13"/>
      <c r="L994" s="13"/>
      <c r="M994" s="13"/>
    </row>
    <row r="995">
      <c r="E995" s="13"/>
      <c r="F995" s="13"/>
      <c r="G995" s="13"/>
      <c r="H995" s="13"/>
      <c r="I995" s="13"/>
      <c r="J995" s="13"/>
      <c r="K995" s="13"/>
      <c r="L995" s="13"/>
      <c r="M995" s="13"/>
    </row>
    <row r="996">
      <c r="E996" s="13"/>
      <c r="F996" s="13"/>
      <c r="G996" s="13"/>
      <c r="H996" s="13"/>
      <c r="I996" s="13"/>
      <c r="J996" s="13"/>
      <c r="K996" s="13"/>
      <c r="L996" s="13"/>
      <c r="M996" s="13"/>
    </row>
    <row r="997">
      <c r="E997" s="13"/>
      <c r="F997" s="13"/>
      <c r="G997" s="13"/>
      <c r="H997" s="13"/>
      <c r="I997" s="13"/>
      <c r="J997" s="13"/>
      <c r="K997" s="13"/>
      <c r="L997" s="13"/>
      <c r="M997" s="13"/>
    </row>
    <row r="998">
      <c r="E998" s="13"/>
      <c r="F998" s="13"/>
      <c r="G998" s="13"/>
      <c r="H998" s="13"/>
      <c r="I998" s="13"/>
      <c r="J998" s="13"/>
      <c r="K998" s="13"/>
      <c r="L998" s="13"/>
      <c r="M998" s="13"/>
    </row>
    <row r="999">
      <c r="E999" s="13"/>
      <c r="F999" s="13"/>
      <c r="G999" s="13"/>
      <c r="H999" s="13"/>
      <c r="I999" s="13"/>
      <c r="J999" s="13"/>
      <c r="K999" s="13"/>
      <c r="L999" s="13"/>
      <c r="M999" s="13"/>
    </row>
    <row r="1000">
      <c r="E1000" s="13"/>
      <c r="F1000" s="13"/>
      <c r="G1000" s="13"/>
      <c r="H1000" s="13"/>
      <c r="I1000" s="13"/>
      <c r="J1000" s="13"/>
      <c r="K1000" s="13"/>
      <c r="L1000" s="13"/>
      <c r="M1000" s="13"/>
    </row>
    <row r="1001">
      <c r="E1001" s="13"/>
      <c r="F1001" s="13"/>
      <c r="G1001" s="13"/>
      <c r="H1001" s="13"/>
      <c r="I1001" s="13"/>
      <c r="J1001" s="13"/>
      <c r="K1001" s="13"/>
      <c r="L1001" s="13"/>
      <c r="M1001" s="13"/>
    </row>
    <row r="1002">
      <c r="E1002" s="13"/>
      <c r="F1002" s="13"/>
      <c r="G1002" s="13"/>
      <c r="H1002" s="13"/>
      <c r="I1002" s="13"/>
      <c r="J1002" s="13"/>
      <c r="K1002" s="13"/>
      <c r="L1002" s="13"/>
      <c r="M1002" s="13"/>
    </row>
    <row r="1003">
      <c r="E1003" s="13"/>
      <c r="F1003" s="13"/>
      <c r="G1003" s="13"/>
      <c r="H1003" s="13"/>
      <c r="I1003" s="13"/>
      <c r="J1003" s="13"/>
      <c r="K1003" s="13"/>
      <c r="L1003" s="13"/>
      <c r="M1003" s="13"/>
    </row>
    <row r="1004">
      <c r="E1004" s="13"/>
      <c r="F1004" s="13"/>
      <c r="G1004" s="13"/>
      <c r="H1004" s="13"/>
      <c r="I1004" s="13"/>
      <c r="J1004" s="13"/>
      <c r="K1004" s="13"/>
      <c r="L1004" s="13"/>
      <c r="M1004" s="13"/>
    </row>
    <row r="1005">
      <c r="E1005" s="13"/>
      <c r="F1005" s="13"/>
      <c r="G1005" s="13"/>
      <c r="H1005" s="13"/>
      <c r="I1005" s="13"/>
      <c r="J1005" s="13"/>
      <c r="K1005" s="13"/>
      <c r="L1005" s="13"/>
      <c r="M1005" s="13"/>
    </row>
    <row r="1006">
      <c r="E1006" s="13"/>
      <c r="F1006" s="13"/>
      <c r="G1006" s="13"/>
      <c r="H1006" s="13"/>
      <c r="I1006" s="13"/>
      <c r="J1006" s="13"/>
      <c r="K1006" s="13"/>
      <c r="L1006" s="13"/>
      <c r="M1006" s="13"/>
    </row>
    <row r="1007">
      <c r="E1007" s="13"/>
      <c r="F1007" s="13"/>
      <c r="G1007" s="13"/>
      <c r="H1007" s="13"/>
      <c r="I1007" s="13"/>
      <c r="J1007" s="13"/>
      <c r="K1007" s="13"/>
      <c r="L1007" s="13"/>
      <c r="M1007" s="13"/>
    </row>
    <row r="1008">
      <c r="E1008" s="13"/>
      <c r="F1008" s="13"/>
      <c r="G1008" s="13"/>
      <c r="H1008" s="13"/>
      <c r="I1008" s="13"/>
      <c r="J1008" s="13"/>
      <c r="K1008" s="13"/>
      <c r="L1008" s="13"/>
      <c r="M1008" s="13"/>
    </row>
    <row r="1009">
      <c r="E1009" s="13"/>
      <c r="F1009" s="13"/>
      <c r="G1009" s="13"/>
      <c r="H1009" s="13"/>
      <c r="I1009" s="13"/>
      <c r="J1009" s="13"/>
      <c r="K1009" s="13"/>
      <c r="L1009" s="13"/>
      <c r="M1009" s="13"/>
    </row>
    <row r="1010">
      <c r="E1010" s="13"/>
      <c r="F1010" s="13"/>
      <c r="G1010" s="13"/>
      <c r="H1010" s="13"/>
      <c r="I1010" s="13"/>
      <c r="J1010" s="13"/>
      <c r="K1010" s="13"/>
      <c r="L1010" s="13"/>
      <c r="M1010" s="13"/>
    </row>
    <row r="1011">
      <c r="E1011" s="13"/>
      <c r="F1011" s="13"/>
      <c r="G1011" s="13"/>
      <c r="H1011" s="13"/>
      <c r="I1011" s="13"/>
      <c r="J1011" s="13"/>
      <c r="K1011" s="13"/>
      <c r="L1011" s="13"/>
      <c r="M1011" s="13"/>
    </row>
    <row r="1012">
      <c r="E1012" s="13"/>
      <c r="F1012" s="13"/>
      <c r="G1012" s="13"/>
      <c r="H1012" s="13"/>
      <c r="I1012" s="13"/>
      <c r="J1012" s="13"/>
      <c r="K1012" s="13"/>
      <c r="L1012" s="13"/>
      <c r="M1012" s="13"/>
    </row>
    <row r="1013">
      <c r="E1013" s="13"/>
      <c r="F1013" s="13"/>
      <c r="G1013" s="13"/>
      <c r="H1013" s="13"/>
      <c r="I1013" s="13"/>
      <c r="J1013" s="13"/>
      <c r="K1013" s="13"/>
      <c r="L1013" s="13"/>
      <c r="M1013" s="13"/>
    </row>
    <row r="1014">
      <c r="E1014" s="13"/>
      <c r="F1014" s="13"/>
      <c r="G1014" s="13"/>
      <c r="H1014" s="13"/>
      <c r="I1014" s="13"/>
      <c r="J1014" s="13"/>
      <c r="K1014" s="13"/>
      <c r="L1014" s="13"/>
      <c r="M1014" s="13"/>
    </row>
    <row r="1015">
      <c r="E1015" s="13"/>
      <c r="F1015" s="13"/>
      <c r="G1015" s="13"/>
      <c r="H1015" s="13"/>
      <c r="I1015" s="13"/>
      <c r="J1015" s="13"/>
      <c r="K1015" s="13"/>
      <c r="L1015" s="13"/>
      <c r="M1015" s="13"/>
    </row>
    <row r="1016">
      <c r="E1016" s="13"/>
      <c r="F1016" s="13"/>
      <c r="G1016" s="13"/>
      <c r="H1016" s="13"/>
      <c r="I1016" s="13"/>
      <c r="J1016" s="13"/>
      <c r="K1016" s="13"/>
      <c r="L1016" s="13"/>
      <c r="M1016" s="13"/>
    </row>
    <row r="1017">
      <c r="E1017" s="13"/>
      <c r="F1017" s="13"/>
      <c r="G1017" s="13"/>
      <c r="H1017" s="13"/>
      <c r="I1017" s="13"/>
      <c r="J1017" s="13"/>
      <c r="K1017" s="13"/>
      <c r="L1017" s="13"/>
      <c r="M1017" s="13"/>
    </row>
    <row r="1018">
      <c r="E1018" s="13"/>
      <c r="F1018" s="13"/>
      <c r="G1018" s="13"/>
      <c r="H1018" s="13"/>
      <c r="I1018" s="13"/>
      <c r="J1018" s="13"/>
      <c r="K1018" s="13"/>
      <c r="L1018" s="13"/>
      <c r="M1018" s="13"/>
    </row>
    <row r="1019">
      <c r="E1019" s="13"/>
      <c r="F1019" s="13"/>
      <c r="G1019" s="13"/>
      <c r="H1019" s="13"/>
      <c r="I1019" s="13"/>
      <c r="J1019" s="13"/>
      <c r="K1019" s="13"/>
      <c r="L1019" s="13"/>
      <c r="M1019" s="13"/>
    </row>
    <row r="1020">
      <c r="E1020" s="13"/>
      <c r="F1020" s="13"/>
      <c r="G1020" s="13"/>
      <c r="H1020" s="13"/>
      <c r="I1020" s="13"/>
      <c r="J1020" s="13"/>
      <c r="K1020" s="13"/>
      <c r="L1020" s="13"/>
      <c r="M1020" s="13"/>
    </row>
    <row r="1021">
      <c r="E1021" s="13"/>
      <c r="F1021" s="13"/>
      <c r="G1021" s="13"/>
      <c r="H1021" s="13"/>
      <c r="I1021" s="13"/>
      <c r="J1021" s="13"/>
      <c r="K1021" s="13"/>
      <c r="L1021" s="13"/>
      <c r="M1021" s="13"/>
    </row>
    <row r="1022">
      <c r="E1022" s="13"/>
      <c r="F1022" s="13"/>
      <c r="G1022" s="13"/>
      <c r="H1022" s="13"/>
      <c r="I1022" s="13"/>
      <c r="J1022" s="13"/>
      <c r="K1022" s="13"/>
      <c r="L1022" s="13"/>
      <c r="M1022" s="13"/>
    </row>
    <row r="1023">
      <c r="E1023" s="13"/>
      <c r="F1023" s="13"/>
      <c r="G1023" s="13"/>
      <c r="H1023" s="13"/>
      <c r="I1023" s="13"/>
      <c r="J1023" s="13"/>
      <c r="K1023" s="13"/>
      <c r="L1023" s="13"/>
      <c r="M1023" s="13"/>
    </row>
    <row r="1024">
      <c r="E1024" s="13"/>
      <c r="F1024" s="13"/>
      <c r="G1024" s="13"/>
      <c r="H1024" s="13"/>
      <c r="I1024" s="13"/>
      <c r="J1024" s="13"/>
      <c r="K1024" s="13"/>
      <c r="L1024" s="13"/>
      <c r="M1024" s="13"/>
    </row>
  </sheetData>
  <autoFilter ref="$A$4:$N$20">
    <sortState ref="A4:N20">
      <sortCondition descending="1" sortBy="cellColor" ref="C4:C20" dxfId="2"/>
    </sortState>
  </autoFilter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 outlineLevelCol="1"/>
  <cols>
    <col customWidth="1" min="1" max="1" width="53.71"/>
    <col collapsed="1" customWidth="1" min="2" max="2" width="13.57"/>
    <col customWidth="1" hidden="1" min="3" max="3" width="13.57" outlineLevel="1"/>
    <col customWidth="1" hidden="1" min="4" max="4" width="14.43" outlineLevel="1"/>
    <col customWidth="1" hidden="1" min="5" max="5" width="13.71" outlineLevel="1"/>
    <col customWidth="1" hidden="1" min="6" max="6" width="11.71" outlineLevel="1"/>
    <col customWidth="1" hidden="1" min="7" max="8" width="12.71" outlineLevel="1"/>
    <col customWidth="1" hidden="1" min="9" max="13" width="14.0" outlineLevel="1"/>
    <col customWidth="1" hidden="1" min="14" max="14" width="15.29" outlineLevel="1"/>
    <col customWidth="1" hidden="1" min="15" max="26" width="17.0" outlineLevel="1"/>
    <col customWidth="1" min="27" max="27" width="17.0"/>
    <col customWidth="1" min="28" max="39" width="16.57"/>
    <col customWidth="1" min="40" max="41" width="17.0"/>
    <col customWidth="1" min="42" max="42" width="14.0"/>
    <col customWidth="1" min="43" max="43" width="15.29"/>
    <col customWidth="1" min="44" max="45" width="8.71"/>
    <col customWidth="1" min="46" max="46" width="18.0"/>
    <col customWidth="1" min="47" max="48" width="8.71"/>
    <col customWidth="1" min="49" max="49" width="13.29"/>
    <col customWidth="1" min="50" max="50" width="10.86"/>
    <col customWidth="1" min="51" max="54" width="8.71"/>
    <col customWidth="1" min="55" max="55" width="19.57"/>
    <col customWidth="1" min="56" max="62" width="8.71"/>
  </cols>
  <sheetData>
    <row r="1">
      <c r="A1" s="143"/>
      <c r="B1" s="144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6"/>
      <c r="P1" s="147">
        <f t="shared" ref="P1:Q1" si="1">SUM(P5:P34)/P2</f>
        <v>88000</v>
      </c>
      <c r="Q1" s="147">
        <f t="shared" si="1"/>
        <v>83888.08167</v>
      </c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6"/>
      <c r="AO1" s="146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9">
        <v>120.0</v>
      </c>
      <c r="BC1" s="150">
        <v>120.0</v>
      </c>
      <c r="BD1" s="151"/>
      <c r="BE1" s="50"/>
      <c r="BF1" s="50"/>
      <c r="BG1" s="50"/>
      <c r="BH1" s="50"/>
      <c r="BI1" s="50"/>
      <c r="BJ1" s="50"/>
    </row>
    <row r="2">
      <c r="A2" s="145"/>
      <c r="B2" s="144"/>
      <c r="C2" s="145"/>
      <c r="D2" s="145"/>
      <c r="E2" s="145"/>
      <c r="F2" s="145"/>
      <c r="G2" s="145"/>
      <c r="H2" s="145"/>
      <c r="I2" s="151"/>
      <c r="J2" s="151"/>
      <c r="K2" s="151"/>
      <c r="L2" s="151"/>
      <c r="M2" s="151"/>
      <c r="N2" s="151"/>
      <c r="O2" s="151"/>
      <c r="P2" s="152">
        <f t="shared" ref="P2:Q2" si="2">COUNTA(P5:P34)</f>
        <v>5</v>
      </c>
      <c r="Q2" s="152">
        <f t="shared" si="2"/>
        <v>6</v>
      </c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4"/>
      <c r="BF2" s="50"/>
      <c r="BG2" s="50"/>
      <c r="BH2" s="50"/>
      <c r="BI2" s="50"/>
      <c r="BJ2" s="50"/>
    </row>
    <row r="3">
      <c r="A3" s="145"/>
      <c r="B3" s="155" t="s">
        <v>310</v>
      </c>
      <c r="C3" s="156" t="s">
        <v>311</v>
      </c>
      <c r="D3" s="156" t="s">
        <v>312</v>
      </c>
      <c r="E3" s="156" t="s">
        <v>313</v>
      </c>
      <c r="F3" s="156" t="s">
        <v>314</v>
      </c>
      <c r="G3" s="156" t="s">
        <v>315</v>
      </c>
      <c r="H3" s="156" t="s">
        <v>316</v>
      </c>
      <c r="I3" s="156" t="s">
        <v>317</v>
      </c>
      <c r="J3" s="156" t="s">
        <v>318</v>
      </c>
      <c r="K3" s="157" t="s">
        <v>319</v>
      </c>
      <c r="L3" s="157" t="s">
        <v>320</v>
      </c>
      <c r="M3" s="157" t="s">
        <v>321</v>
      </c>
      <c r="N3" s="157" t="s">
        <v>322</v>
      </c>
      <c r="O3" s="157" t="s">
        <v>323</v>
      </c>
      <c r="P3" s="157" t="s">
        <v>324</v>
      </c>
      <c r="Q3" s="157" t="s">
        <v>325</v>
      </c>
      <c r="R3" s="157" t="s">
        <v>326</v>
      </c>
      <c r="S3" s="157" t="s">
        <v>327</v>
      </c>
      <c r="T3" s="157" t="s">
        <v>328</v>
      </c>
      <c r="U3" s="157" t="s">
        <v>329</v>
      </c>
      <c r="V3" s="157" t="s">
        <v>330</v>
      </c>
      <c r="W3" s="157" t="s">
        <v>331</v>
      </c>
      <c r="X3" s="157" t="s">
        <v>332</v>
      </c>
      <c r="Y3" s="157" t="s">
        <v>333</v>
      </c>
      <c r="Z3" s="157" t="s">
        <v>334</v>
      </c>
      <c r="AA3" s="157" t="s">
        <v>335</v>
      </c>
      <c r="AB3" s="158" t="s">
        <v>336</v>
      </c>
      <c r="AC3" s="158" t="s">
        <v>337</v>
      </c>
      <c r="AD3" s="158" t="s">
        <v>338</v>
      </c>
      <c r="AE3" s="158" t="s">
        <v>339</v>
      </c>
      <c r="AF3" s="158" t="s">
        <v>340</v>
      </c>
      <c r="AG3" s="158" t="s">
        <v>341</v>
      </c>
      <c r="AH3" s="158" t="s">
        <v>342</v>
      </c>
      <c r="AI3" s="158" t="s">
        <v>343</v>
      </c>
      <c r="AJ3" s="158" t="s">
        <v>344</v>
      </c>
      <c r="AK3" s="158" t="s">
        <v>345</v>
      </c>
      <c r="AL3" s="158" t="s">
        <v>346</v>
      </c>
      <c r="AM3" s="158" t="s">
        <v>347</v>
      </c>
      <c r="AN3" s="159" t="s">
        <v>348</v>
      </c>
      <c r="AO3" s="159" t="s">
        <v>349</v>
      </c>
      <c r="AP3" s="160" t="s">
        <v>40</v>
      </c>
      <c r="AQ3" s="161" t="s">
        <v>350</v>
      </c>
      <c r="AR3" s="161" t="s">
        <v>351</v>
      </c>
      <c r="AS3" s="151"/>
      <c r="AT3" s="162" t="s">
        <v>352</v>
      </c>
      <c r="AU3" s="151"/>
      <c r="AV3" s="162" t="s">
        <v>353</v>
      </c>
      <c r="AW3" s="161" t="s">
        <v>353</v>
      </c>
      <c r="AX3" s="154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</row>
    <row r="4">
      <c r="A4" s="163" t="s">
        <v>354</v>
      </c>
      <c r="B4" s="164"/>
      <c r="C4" s="164"/>
      <c r="D4" s="164"/>
      <c r="E4" s="164"/>
      <c r="F4" s="164"/>
      <c r="G4" s="165" t="s">
        <v>355</v>
      </c>
      <c r="H4" s="165" t="s">
        <v>355</v>
      </c>
      <c r="I4" s="164"/>
      <c r="J4" s="166" t="s">
        <v>355</v>
      </c>
      <c r="K4" s="167">
        <v>0.0</v>
      </c>
      <c r="L4" s="168" t="s">
        <v>355</v>
      </c>
      <c r="M4" s="167">
        <v>0.0</v>
      </c>
      <c r="N4" s="166" t="s">
        <v>355</v>
      </c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9"/>
      <c r="AO4" s="169"/>
      <c r="AP4" s="169"/>
      <c r="AQ4" s="169"/>
      <c r="AR4" s="145"/>
      <c r="AS4" s="145"/>
      <c r="AT4" s="145"/>
      <c r="AU4" s="145"/>
      <c r="AV4" s="145"/>
      <c r="AW4" s="145"/>
      <c r="AX4" s="50"/>
      <c r="AY4" s="50"/>
      <c r="AZ4" s="50"/>
      <c r="BA4" s="50"/>
      <c r="BB4" s="50"/>
      <c r="BC4" s="111" t="s">
        <v>356</v>
      </c>
      <c r="BD4" s="50"/>
      <c r="BE4" s="50"/>
      <c r="BF4" s="50"/>
      <c r="BG4" s="50"/>
      <c r="BH4" s="50"/>
      <c r="BI4" s="50"/>
      <c r="BJ4" s="50"/>
    </row>
    <row r="5">
      <c r="A5" s="145" t="s">
        <v>357</v>
      </c>
      <c r="B5" s="164" t="s">
        <v>18</v>
      </c>
      <c r="C5" s="170"/>
      <c r="D5" s="170"/>
      <c r="E5" s="170"/>
      <c r="F5" s="170"/>
      <c r="G5" s="170"/>
      <c r="H5" s="170"/>
      <c r="I5" s="170"/>
      <c r="J5" s="170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2">
        <v>125000.0</v>
      </c>
      <c r="V5" s="172">
        <v>125000.0</v>
      </c>
      <c r="W5" s="172">
        <v>125000.0</v>
      </c>
      <c r="X5" s="172">
        <v>125000.0</v>
      </c>
      <c r="Y5" s="172">
        <v>125000.0</v>
      </c>
      <c r="Z5" s="172">
        <v>125000.0</v>
      </c>
      <c r="AA5" s="172">
        <v>125000.0</v>
      </c>
      <c r="AB5" s="173">
        <v>89285.0</v>
      </c>
      <c r="AC5" s="173" t="s">
        <v>355</v>
      </c>
      <c r="AD5" s="173" t="s">
        <v>355</v>
      </c>
      <c r="AE5" s="173" t="s">
        <v>355</v>
      </c>
      <c r="AF5" s="173" t="s">
        <v>355</v>
      </c>
      <c r="AG5" s="173" t="s">
        <v>355</v>
      </c>
      <c r="AH5" s="173" t="s">
        <v>355</v>
      </c>
      <c r="AI5" s="173" t="s">
        <v>355</v>
      </c>
      <c r="AJ5" s="173" t="s">
        <v>355</v>
      </c>
      <c r="AK5" s="173" t="s">
        <v>355</v>
      </c>
      <c r="AL5" s="173" t="s">
        <v>355</v>
      </c>
      <c r="AM5" s="173">
        <f>SUMIF('Отчет по марже'!D:D,A5,'Отчет по марже'!M:M)</f>
        <v>0</v>
      </c>
      <c r="AN5" s="147">
        <f t="shared" ref="AN5:AN64" si="3">AM5-P5</f>
        <v>0</v>
      </c>
      <c r="AO5" s="147">
        <f t="shared" ref="AO5:AO64" si="4">SUM(W5:AM5)-SUM(Q5:V5)</f>
        <v>464285</v>
      </c>
      <c r="AP5" s="174">
        <f t="shared" ref="AP5:AP31" si="5">SUM(C5:AM5)</f>
        <v>964285</v>
      </c>
      <c r="AQ5" s="175">
        <f t="shared" ref="AQ5:AQ31" si="6">AM5/$AM$65</f>
        <v>0</v>
      </c>
      <c r="AR5" s="175">
        <f t="shared" ref="AR5:AR31" si="7">AP5/$AP$65</f>
        <v>0.02572388009</v>
      </c>
      <c r="AS5" s="176" t="str">
        <f t="shared" ref="AS5:AS18" si="8">AO5/#REF!</f>
        <v>#REF!</v>
      </c>
      <c r="AT5" s="177">
        <f t="shared" ref="AT5:AT31" si="9">AVERAGE(C5:AM5)</f>
        <v>107142.7778</v>
      </c>
      <c r="AU5" s="178">
        <v>117000.0</v>
      </c>
      <c r="AV5" s="179" t="str">
        <f t="shared" ref="AV5:AV31" si="10">#REF!-#REF!</f>
        <v>#REF!</v>
      </c>
      <c r="AW5" s="178" t="s">
        <v>358</v>
      </c>
      <c r="AX5" s="180">
        <v>8.0</v>
      </c>
      <c r="AY5" s="180">
        <f t="shared" ref="AY5:AY31" si="11">COUNTIF(B5:U5,"&gt;0")</f>
        <v>1</v>
      </c>
      <c r="AZ5" s="181">
        <v>20.0</v>
      </c>
      <c r="BA5" s="182"/>
      <c r="BB5" s="182"/>
      <c r="BC5" s="182">
        <f>COUNTA($F$5:Q5)</f>
        <v>0</v>
      </c>
      <c r="BD5" s="182">
        <f t="shared" ref="BD5:BD31" si="12">COUNTA($F5:AA5)</f>
        <v>7</v>
      </c>
      <c r="BE5" s="182">
        <f t="shared" ref="BE5:BE31" si="13">COUNTA(F5:AA5)</f>
        <v>7</v>
      </c>
      <c r="BF5" s="182">
        <f t="shared" ref="BF5:BF31" si="14">COUNTA($F5:AA5)</f>
        <v>7</v>
      </c>
      <c r="BG5" s="182">
        <f t="shared" ref="BG5:BG31" si="15">COUNTA($F5:AM5)</f>
        <v>19</v>
      </c>
      <c r="BH5" s="50"/>
      <c r="BI5" s="50"/>
      <c r="BJ5" s="50"/>
    </row>
    <row r="6">
      <c r="A6" s="151" t="s">
        <v>359</v>
      </c>
      <c r="B6" s="164" t="s">
        <v>18</v>
      </c>
      <c r="C6" s="170"/>
      <c r="D6" s="170"/>
      <c r="E6" s="170"/>
      <c r="F6" s="170"/>
      <c r="G6" s="170"/>
      <c r="H6" s="170"/>
      <c r="I6" s="170"/>
      <c r="J6" s="170"/>
      <c r="K6" s="171"/>
      <c r="L6" s="171"/>
      <c r="M6" s="171"/>
      <c r="N6" s="171"/>
      <c r="O6" s="172">
        <v>31277.71</v>
      </c>
      <c r="P6" s="172">
        <v>30000.0</v>
      </c>
      <c r="Q6" s="172">
        <v>41568.5</v>
      </c>
      <c r="R6" s="172">
        <v>38356.54</v>
      </c>
      <c r="S6" s="172">
        <v>58889.94</v>
      </c>
      <c r="T6" s="172">
        <v>61286.66</v>
      </c>
      <c r="U6" s="172">
        <v>74336.41</v>
      </c>
      <c r="V6" s="171"/>
      <c r="W6" s="171"/>
      <c r="X6" s="171"/>
      <c r="Y6" s="171"/>
      <c r="Z6" s="171"/>
      <c r="AA6" s="171"/>
      <c r="AB6" s="173" t="s">
        <v>355</v>
      </c>
      <c r="AC6" s="173" t="s">
        <v>355</v>
      </c>
      <c r="AD6" s="173" t="s">
        <v>355</v>
      </c>
      <c r="AE6" s="173" t="s">
        <v>355</v>
      </c>
      <c r="AF6" s="173" t="s">
        <v>355</v>
      </c>
      <c r="AG6" s="173" t="s">
        <v>355</v>
      </c>
      <c r="AH6" s="173" t="s">
        <v>355</v>
      </c>
      <c r="AI6" s="173" t="s">
        <v>355</v>
      </c>
      <c r="AJ6" s="173" t="s">
        <v>355</v>
      </c>
      <c r="AK6" s="173" t="s">
        <v>355</v>
      </c>
      <c r="AL6" s="173" t="s">
        <v>355</v>
      </c>
      <c r="AM6" s="173">
        <f>SUMIF('Отчет по марже'!D:D,A6,'Отчет по марже'!M:M)</f>
        <v>0</v>
      </c>
      <c r="AN6" s="147">
        <f t="shared" si="3"/>
        <v>-30000</v>
      </c>
      <c r="AO6" s="147">
        <f t="shared" si="4"/>
        <v>-274438.05</v>
      </c>
      <c r="AP6" s="174">
        <f t="shared" si="5"/>
        <v>335715.76</v>
      </c>
      <c r="AQ6" s="183">
        <f t="shared" si="6"/>
        <v>0</v>
      </c>
      <c r="AR6" s="183">
        <f t="shared" si="7"/>
        <v>0.00895576718</v>
      </c>
      <c r="AS6" s="176" t="str">
        <f t="shared" si="8"/>
        <v>#REF!</v>
      </c>
      <c r="AT6" s="177">
        <f t="shared" si="9"/>
        <v>41964.47</v>
      </c>
      <c r="AU6" s="146"/>
      <c r="AV6" s="184" t="str">
        <f t="shared" si="10"/>
        <v>#REF!</v>
      </c>
      <c r="AW6" s="178" t="s">
        <v>355</v>
      </c>
      <c r="AX6" s="50"/>
      <c r="AY6" s="180">
        <f t="shared" si="11"/>
        <v>7</v>
      </c>
      <c r="AZ6" s="180">
        <v>9.0</v>
      </c>
      <c r="BA6" s="182"/>
      <c r="BB6" s="182"/>
      <c r="BC6" s="182">
        <f t="shared" ref="BC6:BC31" si="16">COUNTA(F6:Q6)</f>
        <v>3</v>
      </c>
      <c r="BD6" s="182">
        <f t="shared" si="12"/>
        <v>7</v>
      </c>
      <c r="BE6" s="182">
        <f t="shared" si="13"/>
        <v>7</v>
      </c>
      <c r="BF6" s="182">
        <f t="shared" si="14"/>
        <v>7</v>
      </c>
      <c r="BG6" s="182">
        <f t="shared" si="15"/>
        <v>19</v>
      </c>
      <c r="BH6" s="50"/>
      <c r="BI6" s="50"/>
      <c r="BJ6" s="50"/>
    </row>
    <row r="7">
      <c r="A7" s="151" t="s">
        <v>360</v>
      </c>
      <c r="B7" s="164" t="s">
        <v>18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2">
        <v>99167.0</v>
      </c>
      <c r="U7" s="171"/>
      <c r="V7" s="171"/>
      <c r="W7" s="171"/>
      <c r="X7" s="171"/>
      <c r="Y7" s="171"/>
      <c r="Z7" s="171"/>
      <c r="AA7" s="171"/>
      <c r="AB7" s="173" t="s">
        <v>355</v>
      </c>
      <c r="AC7" s="173" t="s">
        <v>355</v>
      </c>
      <c r="AD7" s="173" t="s">
        <v>355</v>
      </c>
      <c r="AE7" s="173" t="s">
        <v>355</v>
      </c>
      <c r="AF7" s="173" t="s">
        <v>355</v>
      </c>
      <c r="AG7" s="173" t="s">
        <v>355</v>
      </c>
      <c r="AH7" s="173" t="s">
        <v>355</v>
      </c>
      <c r="AI7" s="173" t="s">
        <v>355</v>
      </c>
      <c r="AJ7" s="173" t="s">
        <v>355</v>
      </c>
      <c r="AK7" s="173" t="s">
        <v>355</v>
      </c>
      <c r="AL7" s="173" t="s">
        <v>355</v>
      </c>
      <c r="AM7" s="173">
        <f>SUMIF('Отчет по марже'!D:D,A7,'Отчет по марже'!M:M)</f>
        <v>0</v>
      </c>
      <c r="AN7" s="147">
        <f t="shared" si="3"/>
        <v>0</v>
      </c>
      <c r="AO7" s="147">
        <f t="shared" si="4"/>
        <v>-99167</v>
      </c>
      <c r="AP7" s="174">
        <f t="shared" si="5"/>
        <v>99167</v>
      </c>
      <c r="AQ7" s="183">
        <f t="shared" si="6"/>
        <v>0</v>
      </c>
      <c r="AR7" s="183">
        <f t="shared" si="7"/>
        <v>0.002645441977</v>
      </c>
      <c r="AS7" s="176" t="str">
        <f t="shared" si="8"/>
        <v>#REF!</v>
      </c>
      <c r="AT7" s="177">
        <f t="shared" si="9"/>
        <v>49583.5</v>
      </c>
      <c r="AU7" s="178">
        <v>79600.0</v>
      </c>
      <c r="AV7" s="179" t="str">
        <f t="shared" si="10"/>
        <v>#REF!</v>
      </c>
      <c r="AW7" s="178" t="s">
        <v>355</v>
      </c>
      <c r="AX7" s="180">
        <v>8.0</v>
      </c>
      <c r="AY7" s="180">
        <f t="shared" si="11"/>
        <v>1</v>
      </c>
      <c r="AZ7" s="181">
        <v>20.0</v>
      </c>
      <c r="BA7" s="182"/>
      <c r="BB7" s="182"/>
      <c r="BC7" s="182">
        <f t="shared" si="16"/>
        <v>0</v>
      </c>
      <c r="BD7" s="182">
        <f t="shared" si="12"/>
        <v>1</v>
      </c>
      <c r="BE7" s="182">
        <f t="shared" si="13"/>
        <v>1</v>
      </c>
      <c r="BF7" s="182">
        <f t="shared" si="14"/>
        <v>1</v>
      </c>
      <c r="BG7" s="182">
        <f t="shared" si="15"/>
        <v>13</v>
      </c>
      <c r="BH7" s="50"/>
      <c r="BI7" s="50"/>
      <c r="BJ7" s="50"/>
    </row>
    <row r="8">
      <c r="A8" s="151" t="s">
        <v>361</v>
      </c>
      <c r="B8" s="164" t="s">
        <v>18</v>
      </c>
      <c r="C8" s="171"/>
      <c r="D8" s="171"/>
      <c r="E8" s="171"/>
      <c r="F8" s="172">
        <v>50000.0</v>
      </c>
      <c r="G8" s="172">
        <v>50000.0</v>
      </c>
      <c r="H8" s="172">
        <v>86302.0</v>
      </c>
      <c r="I8" s="172">
        <v>50000.0</v>
      </c>
      <c r="J8" s="172">
        <v>116334.0</v>
      </c>
      <c r="K8" s="172">
        <v>111614.0</v>
      </c>
      <c r="L8" s="172">
        <v>124739.0</v>
      </c>
      <c r="M8" s="172">
        <v>50000.0</v>
      </c>
      <c r="N8" s="172">
        <v>50000.0</v>
      </c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3" t="s">
        <v>355</v>
      </c>
      <c r="AC8" s="173" t="s">
        <v>355</v>
      </c>
      <c r="AD8" s="173" t="s">
        <v>355</v>
      </c>
      <c r="AE8" s="173" t="s">
        <v>355</v>
      </c>
      <c r="AF8" s="173" t="s">
        <v>355</v>
      </c>
      <c r="AG8" s="173" t="s">
        <v>355</v>
      </c>
      <c r="AH8" s="173" t="s">
        <v>355</v>
      </c>
      <c r="AI8" s="173" t="s">
        <v>355</v>
      </c>
      <c r="AJ8" s="173" t="s">
        <v>355</v>
      </c>
      <c r="AK8" s="173" t="s">
        <v>355</v>
      </c>
      <c r="AL8" s="173" t="s">
        <v>355</v>
      </c>
      <c r="AM8" s="173">
        <f>SUMIF('Отчет по марже'!D:D,A8,'Отчет по марже'!M:M)</f>
        <v>0</v>
      </c>
      <c r="AN8" s="147">
        <f t="shared" si="3"/>
        <v>0</v>
      </c>
      <c r="AO8" s="147">
        <f t="shared" si="4"/>
        <v>0</v>
      </c>
      <c r="AP8" s="174">
        <f t="shared" si="5"/>
        <v>688989</v>
      </c>
      <c r="AQ8" s="183">
        <f t="shared" si="6"/>
        <v>0</v>
      </c>
      <c r="AR8" s="175">
        <f t="shared" si="7"/>
        <v>0.01837990887</v>
      </c>
      <c r="AS8" s="176" t="str">
        <f t="shared" si="8"/>
        <v>#REF!</v>
      </c>
      <c r="AT8" s="177">
        <f t="shared" si="9"/>
        <v>68898.9</v>
      </c>
      <c r="AU8" s="178">
        <v>248000.0</v>
      </c>
      <c r="AV8" s="179" t="str">
        <f t="shared" si="10"/>
        <v>#REF!</v>
      </c>
      <c r="AW8" s="178" t="s">
        <v>355</v>
      </c>
      <c r="AX8" s="180">
        <v>6.0</v>
      </c>
      <c r="AY8" s="180">
        <f t="shared" si="11"/>
        <v>9</v>
      </c>
      <c r="AZ8" s="181">
        <v>20.0</v>
      </c>
      <c r="BA8" s="182"/>
      <c r="BB8" s="182"/>
      <c r="BC8" s="182">
        <f t="shared" si="16"/>
        <v>9</v>
      </c>
      <c r="BD8" s="182">
        <f t="shared" si="12"/>
        <v>9</v>
      </c>
      <c r="BE8" s="182">
        <f t="shared" si="13"/>
        <v>9</v>
      </c>
      <c r="BF8" s="182">
        <f t="shared" si="14"/>
        <v>9</v>
      </c>
      <c r="BG8" s="182">
        <f t="shared" si="15"/>
        <v>21</v>
      </c>
      <c r="BH8" s="50"/>
      <c r="BI8" s="50"/>
      <c r="BJ8" s="50"/>
    </row>
    <row r="9">
      <c r="A9" s="185" t="s">
        <v>362</v>
      </c>
      <c r="B9" s="164" t="s">
        <v>18</v>
      </c>
      <c r="C9" s="170"/>
      <c r="D9" s="170"/>
      <c r="E9" s="170"/>
      <c r="F9" s="170"/>
      <c r="G9" s="170"/>
      <c r="H9" s="170"/>
      <c r="I9" s="170"/>
      <c r="J9" s="170"/>
      <c r="K9" s="171"/>
      <c r="L9" s="171"/>
      <c r="M9" s="171"/>
      <c r="N9" s="171"/>
      <c r="O9" s="186">
        <v>140000.0</v>
      </c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3" t="s">
        <v>355</v>
      </c>
      <c r="AC9" s="173" t="s">
        <v>355</v>
      </c>
      <c r="AD9" s="173" t="s">
        <v>355</v>
      </c>
      <c r="AE9" s="173" t="s">
        <v>355</v>
      </c>
      <c r="AF9" s="173" t="s">
        <v>355</v>
      </c>
      <c r="AG9" s="173" t="s">
        <v>355</v>
      </c>
      <c r="AH9" s="173" t="s">
        <v>355</v>
      </c>
      <c r="AI9" s="173" t="s">
        <v>355</v>
      </c>
      <c r="AJ9" s="173" t="s">
        <v>355</v>
      </c>
      <c r="AK9" s="173" t="s">
        <v>355</v>
      </c>
      <c r="AL9" s="173" t="s">
        <v>355</v>
      </c>
      <c r="AM9" s="173">
        <f>SUMIF('Отчет по марже'!D:D,A9,'Отчет по марже'!M:M)</f>
        <v>0</v>
      </c>
      <c r="AN9" s="147">
        <f t="shared" si="3"/>
        <v>0</v>
      </c>
      <c r="AO9" s="147">
        <f t="shared" si="4"/>
        <v>0</v>
      </c>
      <c r="AP9" s="174">
        <f t="shared" si="5"/>
        <v>140000</v>
      </c>
      <c r="AQ9" s="183">
        <f t="shared" si="6"/>
        <v>0</v>
      </c>
      <c r="AR9" s="183">
        <f t="shared" si="7"/>
        <v>0.003734729061</v>
      </c>
      <c r="AS9" s="176" t="str">
        <f t="shared" si="8"/>
        <v>#REF!</v>
      </c>
      <c r="AT9" s="177">
        <f t="shared" si="9"/>
        <v>70000</v>
      </c>
      <c r="AU9" s="146"/>
      <c r="AV9" s="184" t="str">
        <f t="shared" si="10"/>
        <v>#REF!</v>
      </c>
      <c r="AW9" s="178" t="s">
        <v>355</v>
      </c>
      <c r="AX9" s="180">
        <v>5.0</v>
      </c>
      <c r="AY9" s="180">
        <f t="shared" si="11"/>
        <v>1</v>
      </c>
      <c r="AZ9" s="181">
        <v>16.0</v>
      </c>
      <c r="BA9" s="182"/>
      <c r="BB9" s="182"/>
      <c r="BC9" s="182">
        <f t="shared" si="16"/>
        <v>1</v>
      </c>
      <c r="BD9" s="182">
        <f t="shared" si="12"/>
        <v>1</v>
      </c>
      <c r="BE9" s="182">
        <f t="shared" si="13"/>
        <v>1</v>
      </c>
      <c r="BF9" s="182">
        <f t="shared" si="14"/>
        <v>1</v>
      </c>
      <c r="BG9" s="182">
        <f t="shared" si="15"/>
        <v>13</v>
      </c>
      <c r="BH9" s="50"/>
      <c r="BI9" s="50"/>
      <c r="BJ9" s="50"/>
    </row>
    <row r="10">
      <c r="A10" s="187" t="s">
        <v>363</v>
      </c>
      <c r="B10" s="164" t="s">
        <v>18</v>
      </c>
      <c r="C10" s="170"/>
      <c r="D10" s="170"/>
      <c r="E10" s="170"/>
      <c r="F10" s="170"/>
      <c r="G10" s="170"/>
      <c r="H10" s="170"/>
      <c r="I10" s="170"/>
      <c r="J10" s="170"/>
      <c r="K10" s="171"/>
      <c r="L10" s="171"/>
      <c r="M10" s="171"/>
      <c r="N10" s="171"/>
      <c r="O10" s="186">
        <v>30000.0</v>
      </c>
      <c r="P10" s="186">
        <v>30000.0</v>
      </c>
      <c r="Q10" s="186">
        <v>30000.0</v>
      </c>
      <c r="R10" s="186">
        <v>30000.0</v>
      </c>
      <c r="S10" s="171"/>
      <c r="T10" s="171"/>
      <c r="U10" s="171"/>
      <c r="V10" s="171"/>
      <c r="W10" s="171"/>
      <c r="X10" s="171"/>
      <c r="Y10" s="171"/>
      <c r="Z10" s="171"/>
      <c r="AA10" s="171"/>
      <c r="AB10" s="173" t="s">
        <v>355</v>
      </c>
      <c r="AC10" s="173" t="s">
        <v>355</v>
      </c>
      <c r="AD10" s="173" t="s">
        <v>355</v>
      </c>
      <c r="AE10" s="173" t="s">
        <v>355</v>
      </c>
      <c r="AF10" s="173" t="s">
        <v>355</v>
      </c>
      <c r="AG10" s="173" t="s">
        <v>355</v>
      </c>
      <c r="AH10" s="173" t="s">
        <v>355</v>
      </c>
      <c r="AI10" s="173" t="s">
        <v>355</v>
      </c>
      <c r="AJ10" s="173" t="s">
        <v>355</v>
      </c>
      <c r="AK10" s="173" t="s">
        <v>355</v>
      </c>
      <c r="AL10" s="173" t="s">
        <v>355</v>
      </c>
      <c r="AM10" s="173">
        <f>SUMIF('Отчет по марже'!D:D,A10,'Отчет по марже'!M:M)</f>
        <v>0</v>
      </c>
      <c r="AN10" s="147">
        <f t="shared" si="3"/>
        <v>-30000</v>
      </c>
      <c r="AO10" s="147">
        <f t="shared" si="4"/>
        <v>-60000</v>
      </c>
      <c r="AP10" s="174">
        <f t="shared" si="5"/>
        <v>120000</v>
      </c>
      <c r="AQ10" s="183">
        <f t="shared" si="6"/>
        <v>0</v>
      </c>
      <c r="AR10" s="183">
        <f t="shared" si="7"/>
        <v>0.003201196338</v>
      </c>
      <c r="AS10" s="176" t="str">
        <f t="shared" si="8"/>
        <v>#REF!</v>
      </c>
      <c r="AT10" s="177">
        <f t="shared" si="9"/>
        <v>24000</v>
      </c>
      <c r="AU10" s="146"/>
      <c r="AV10" s="184" t="str">
        <f t="shared" si="10"/>
        <v>#REF!</v>
      </c>
      <c r="AW10" s="178" t="s">
        <v>355</v>
      </c>
      <c r="AX10" s="180">
        <v>5.0</v>
      </c>
      <c r="AY10" s="180">
        <f t="shared" si="11"/>
        <v>4</v>
      </c>
      <c r="AZ10" s="181">
        <v>11.0</v>
      </c>
      <c r="BA10" s="182"/>
      <c r="BB10" s="182"/>
      <c r="BC10" s="182">
        <f t="shared" si="16"/>
        <v>3</v>
      </c>
      <c r="BD10" s="182">
        <f t="shared" si="12"/>
        <v>4</v>
      </c>
      <c r="BE10" s="182">
        <f t="shared" si="13"/>
        <v>4</v>
      </c>
      <c r="BF10" s="182">
        <f t="shared" si="14"/>
        <v>4</v>
      </c>
      <c r="BG10" s="182">
        <f t="shared" si="15"/>
        <v>16</v>
      </c>
      <c r="BH10" s="50"/>
      <c r="BI10" s="50"/>
      <c r="BJ10" s="50"/>
    </row>
    <row r="11">
      <c r="A11" s="151" t="s">
        <v>364</v>
      </c>
      <c r="B11" s="164" t="s">
        <v>18</v>
      </c>
      <c r="C11" s="170"/>
      <c r="D11" s="170"/>
      <c r="E11" s="170"/>
      <c r="F11" s="170"/>
      <c r="G11" s="170"/>
      <c r="H11" s="170"/>
      <c r="I11" s="170"/>
      <c r="J11" s="170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86">
        <v>120000.0</v>
      </c>
      <c r="W11" s="186">
        <v>240000.0</v>
      </c>
      <c r="X11" s="172">
        <v>240000.0</v>
      </c>
      <c r="Y11" s="172">
        <v>240000.0</v>
      </c>
      <c r="Z11" s="171"/>
      <c r="AA11" s="171"/>
      <c r="AB11" s="173" t="s">
        <v>355</v>
      </c>
      <c r="AC11" s="173" t="s">
        <v>355</v>
      </c>
      <c r="AD11" s="173" t="s">
        <v>355</v>
      </c>
      <c r="AE11" s="173" t="s">
        <v>355</v>
      </c>
      <c r="AF11" s="173" t="s">
        <v>355</v>
      </c>
      <c r="AG11" s="173" t="s">
        <v>355</v>
      </c>
      <c r="AH11" s="173" t="s">
        <v>355</v>
      </c>
      <c r="AI11" s="173" t="s">
        <v>355</v>
      </c>
      <c r="AJ11" s="173" t="s">
        <v>355</v>
      </c>
      <c r="AK11" s="173" t="s">
        <v>355</v>
      </c>
      <c r="AL11" s="173" t="s">
        <v>355</v>
      </c>
      <c r="AM11" s="173">
        <f>SUMIF('Отчет по марже'!D:D,A11,'Отчет по марже'!M:M)</f>
        <v>0</v>
      </c>
      <c r="AN11" s="147">
        <f t="shared" si="3"/>
        <v>0</v>
      </c>
      <c r="AO11" s="147">
        <f t="shared" si="4"/>
        <v>600000</v>
      </c>
      <c r="AP11" s="174">
        <f t="shared" si="5"/>
        <v>840000</v>
      </c>
      <c r="AQ11" s="175">
        <f t="shared" si="6"/>
        <v>0</v>
      </c>
      <c r="AR11" s="175">
        <f t="shared" si="7"/>
        <v>0.02240837437</v>
      </c>
      <c r="AS11" s="176" t="str">
        <f t="shared" si="8"/>
        <v>#REF!</v>
      </c>
      <c r="AT11" s="177">
        <f t="shared" si="9"/>
        <v>168000</v>
      </c>
      <c r="AU11" s="178">
        <v>137500.0</v>
      </c>
      <c r="AV11" s="179" t="str">
        <f t="shared" si="10"/>
        <v>#REF!</v>
      </c>
      <c r="AW11" s="178" t="s">
        <v>365</v>
      </c>
      <c r="AX11" s="180">
        <v>6.0</v>
      </c>
      <c r="AY11" s="180">
        <f t="shared" si="11"/>
        <v>0</v>
      </c>
      <c r="AZ11" s="181">
        <v>20.0</v>
      </c>
      <c r="BA11" s="182"/>
      <c r="BB11" s="182"/>
      <c r="BC11" s="182">
        <f t="shared" si="16"/>
        <v>0</v>
      </c>
      <c r="BD11" s="182">
        <f t="shared" si="12"/>
        <v>4</v>
      </c>
      <c r="BE11" s="182">
        <f t="shared" si="13"/>
        <v>4</v>
      </c>
      <c r="BF11" s="182">
        <f t="shared" si="14"/>
        <v>4</v>
      </c>
      <c r="BG11" s="182">
        <f t="shared" si="15"/>
        <v>16</v>
      </c>
      <c r="BH11" s="50"/>
      <c r="BI11" s="50"/>
      <c r="BJ11" s="50"/>
    </row>
    <row r="12">
      <c r="A12" s="151" t="s">
        <v>366</v>
      </c>
      <c r="B12" s="164" t="s">
        <v>18</v>
      </c>
      <c r="C12" s="170"/>
      <c r="D12" s="170"/>
      <c r="E12" s="170"/>
      <c r="F12" s="170"/>
      <c r="G12" s="170"/>
      <c r="H12" s="170"/>
      <c r="I12" s="170"/>
      <c r="J12" s="170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2">
        <v>80000.0</v>
      </c>
      <c r="AA12" s="171"/>
      <c r="AB12" s="173" t="s">
        <v>355</v>
      </c>
      <c r="AC12" s="173" t="s">
        <v>355</v>
      </c>
      <c r="AD12" s="173" t="s">
        <v>355</v>
      </c>
      <c r="AE12" s="173" t="s">
        <v>355</v>
      </c>
      <c r="AF12" s="173" t="s">
        <v>355</v>
      </c>
      <c r="AG12" s="173" t="s">
        <v>355</v>
      </c>
      <c r="AH12" s="173" t="s">
        <v>355</v>
      </c>
      <c r="AI12" s="173" t="s">
        <v>355</v>
      </c>
      <c r="AJ12" s="173" t="s">
        <v>355</v>
      </c>
      <c r="AK12" s="173" t="s">
        <v>355</v>
      </c>
      <c r="AL12" s="173" t="s">
        <v>355</v>
      </c>
      <c r="AM12" s="173">
        <f>SUMIF('Отчет по марже'!D:D,A12,'Отчет по марже'!M:M)</f>
        <v>0</v>
      </c>
      <c r="AN12" s="147">
        <f t="shared" si="3"/>
        <v>0</v>
      </c>
      <c r="AO12" s="147">
        <f t="shared" si="4"/>
        <v>80000</v>
      </c>
      <c r="AP12" s="174">
        <f t="shared" si="5"/>
        <v>80000</v>
      </c>
      <c r="AQ12" s="183">
        <f t="shared" si="6"/>
        <v>0</v>
      </c>
      <c r="AR12" s="183">
        <f t="shared" si="7"/>
        <v>0.002134130892</v>
      </c>
      <c r="AS12" s="176" t="str">
        <f t="shared" si="8"/>
        <v>#REF!</v>
      </c>
      <c r="AT12" s="177">
        <f t="shared" si="9"/>
        <v>40000</v>
      </c>
      <c r="AU12" s="146"/>
      <c r="AV12" s="184" t="str">
        <f t="shared" si="10"/>
        <v>#REF!</v>
      </c>
      <c r="AW12" s="178" t="s">
        <v>355</v>
      </c>
      <c r="AX12" s="180">
        <v>5.0</v>
      </c>
      <c r="AY12" s="180">
        <f t="shared" si="11"/>
        <v>0</v>
      </c>
      <c r="AZ12" s="181">
        <v>12.0</v>
      </c>
      <c r="BA12" s="182"/>
      <c r="BB12" s="182"/>
      <c r="BC12" s="182">
        <f t="shared" si="16"/>
        <v>0</v>
      </c>
      <c r="BD12" s="182">
        <f t="shared" si="12"/>
        <v>1</v>
      </c>
      <c r="BE12" s="182">
        <f t="shared" si="13"/>
        <v>1</v>
      </c>
      <c r="BF12" s="182">
        <f t="shared" si="14"/>
        <v>1</v>
      </c>
      <c r="BG12" s="182">
        <f t="shared" si="15"/>
        <v>13</v>
      </c>
      <c r="BH12" s="50"/>
      <c r="BI12" s="50"/>
      <c r="BJ12" s="50"/>
    </row>
    <row r="13">
      <c r="A13" s="151" t="s">
        <v>367</v>
      </c>
      <c r="B13" s="164" t="s">
        <v>18</v>
      </c>
      <c r="C13" s="188">
        <v>42000.0</v>
      </c>
      <c r="D13" s="188">
        <v>50000.0</v>
      </c>
      <c r="E13" s="188">
        <v>50000.0</v>
      </c>
      <c r="F13" s="188">
        <v>50000.0</v>
      </c>
      <c r="G13" s="170"/>
      <c r="H13" s="170"/>
      <c r="I13" s="170"/>
      <c r="J13" s="170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3" t="s">
        <v>355</v>
      </c>
      <c r="AC13" s="173" t="s">
        <v>355</v>
      </c>
      <c r="AD13" s="173" t="s">
        <v>355</v>
      </c>
      <c r="AE13" s="173" t="s">
        <v>355</v>
      </c>
      <c r="AF13" s="173" t="s">
        <v>355</v>
      </c>
      <c r="AG13" s="173" t="s">
        <v>355</v>
      </c>
      <c r="AH13" s="173" t="s">
        <v>355</v>
      </c>
      <c r="AI13" s="173" t="s">
        <v>355</v>
      </c>
      <c r="AJ13" s="173" t="s">
        <v>355</v>
      </c>
      <c r="AK13" s="173" t="s">
        <v>355</v>
      </c>
      <c r="AL13" s="173" t="s">
        <v>355</v>
      </c>
      <c r="AM13" s="173">
        <f>SUMIF('Отчет по марже'!D:D,A13,'Отчет по марже'!M:M)</f>
        <v>0</v>
      </c>
      <c r="AN13" s="147">
        <f t="shared" si="3"/>
        <v>0</v>
      </c>
      <c r="AO13" s="147">
        <f t="shared" si="4"/>
        <v>0</v>
      </c>
      <c r="AP13" s="174">
        <f t="shared" si="5"/>
        <v>192000</v>
      </c>
      <c r="AQ13" s="183">
        <f t="shared" si="6"/>
        <v>0</v>
      </c>
      <c r="AR13" s="189">
        <f t="shared" si="7"/>
        <v>0.005121914141</v>
      </c>
      <c r="AS13" s="176" t="str">
        <f t="shared" si="8"/>
        <v>#REF!</v>
      </c>
      <c r="AT13" s="177">
        <f t="shared" si="9"/>
        <v>38400</v>
      </c>
      <c r="AU13" s="178">
        <v>541000.0</v>
      </c>
      <c r="AV13" s="179" t="str">
        <f t="shared" si="10"/>
        <v>#REF!</v>
      </c>
      <c r="AW13" s="178" t="s">
        <v>368</v>
      </c>
      <c r="AX13" s="180">
        <v>9.0</v>
      </c>
      <c r="AY13" s="180">
        <f t="shared" si="11"/>
        <v>4</v>
      </c>
      <c r="AZ13" s="181">
        <v>20.0</v>
      </c>
      <c r="BA13" s="182"/>
      <c r="BB13" s="182"/>
      <c r="BC13" s="182">
        <f t="shared" si="16"/>
        <v>1</v>
      </c>
      <c r="BD13" s="182">
        <f t="shared" si="12"/>
        <v>1</v>
      </c>
      <c r="BE13" s="182">
        <f t="shared" si="13"/>
        <v>1</v>
      </c>
      <c r="BF13" s="182">
        <f t="shared" si="14"/>
        <v>1</v>
      </c>
      <c r="BG13" s="182">
        <f t="shared" si="15"/>
        <v>13</v>
      </c>
      <c r="BH13" s="50"/>
      <c r="BI13" s="50"/>
      <c r="BJ13" s="50"/>
    </row>
    <row r="14">
      <c r="A14" s="151" t="s">
        <v>369</v>
      </c>
      <c r="B14" s="164" t="s">
        <v>18</v>
      </c>
      <c r="C14" s="170"/>
      <c r="D14" s="170"/>
      <c r="E14" s="170"/>
      <c r="F14" s="170"/>
      <c r="G14" s="188">
        <v>82500.0</v>
      </c>
      <c r="H14" s="170"/>
      <c r="I14" s="170"/>
      <c r="J14" s="170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3" t="s">
        <v>355</v>
      </c>
      <c r="AC14" s="173" t="s">
        <v>355</v>
      </c>
      <c r="AD14" s="173" t="s">
        <v>355</v>
      </c>
      <c r="AE14" s="173" t="s">
        <v>355</v>
      </c>
      <c r="AF14" s="173" t="s">
        <v>355</v>
      </c>
      <c r="AG14" s="173" t="s">
        <v>355</v>
      </c>
      <c r="AH14" s="173" t="s">
        <v>355</v>
      </c>
      <c r="AI14" s="173" t="s">
        <v>355</v>
      </c>
      <c r="AJ14" s="173" t="s">
        <v>355</v>
      </c>
      <c r="AK14" s="173" t="s">
        <v>355</v>
      </c>
      <c r="AL14" s="173" t="s">
        <v>355</v>
      </c>
      <c r="AM14" s="173">
        <f>SUMIF('Отчет по марже'!D:D,A14,'Отчет по марже'!M:M)</f>
        <v>0</v>
      </c>
      <c r="AN14" s="147">
        <f t="shared" si="3"/>
        <v>0</v>
      </c>
      <c r="AO14" s="147">
        <f t="shared" si="4"/>
        <v>0</v>
      </c>
      <c r="AP14" s="174">
        <f t="shared" si="5"/>
        <v>82500</v>
      </c>
      <c r="AQ14" s="183">
        <f t="shared" si="6"/>
        <v>0</v>
      </c>
      <c r="AR14" s="183">
        <f t="shared" si="7"/>
        <v>0.002200822483</v>
      </c>
      <c r="AS14" s="176" t="str">
        <f t="shared" si="8"/>
        <v>#REF!</v>
      </c>
      <c r="AT14" s="177">
        <f t="shared" si="9"/>
        <v>41250</v>
      </c>
      <c r="AU14" s="146"/>
      <c r="AV14" s="184" t="str">
        <f t="shared" si="10"/>
        <v>#REF!</v>
      </c>
      <c r="AW14" s="178" t="s">
        <v>355</v>
      </c>
      <c r="AX14" s="180">
        <v>5.0</v>
      </c>
      <c r="AY14" s="180">
        <f t="shared" si="11"/>
        <v>1</v>
      </c>
      <c r="AZ14" s="181">
        <v>4.0</v>
      </c>
      <c r="BA14" s="182"/>
      <c r="BB14" s="182"/>
      <c r="BC14" s="182">
        <f t="shared" si="16"/>
        <v>1</v>
      </c>
      <c r="BD14" s="182">
        <f t="shared" si="12"/>
        <v>1</v>
      </c>
      <c r="BE14" s="182">
        <f t="shared" si="13"/>
        <v>1</v>
      </c>
      <c r="BF14" s="182">
        <f t="shared" si="14"/>
        <v>1</v>
      </c>
      <c r="BG14" s="182">
        <f t="shared" si="15"/>
        <v>13</v>
      </c>
      <c r="BH14" s="50"/>
      <c r="BI14" s="50"/>
      <c r="BJ14" s="50"/>
    </row>
    <row r="15">
      <c r="A15" s="187" t="s">
        <v>370</v>
      </c>
      <c r="B15" s="164" t="s">
        <v>18</v>
      </c>
      <c r="C15" s="170"/>
      <c r="D15" s="170"/>
      <c r="E15" s="170"/>
      <c r="F15" s="170"/>
      <c r="G15" s="170"/>
      <c r="H15" s="170"/>
      <c r="I15" s="170"/>
      <c r="J15" s="188">
        <v>66667.0</v>
      </c>
      <c r="K15" s="186">
        <v>150000.0</v>
      </c>
      <c r="L15" s="186">
        <v>200000.0</v>
      </c>
      <c r="M15" s="186">
        <v>336867.0</v>
      </c>
      <c r="N15" s="186">
        <v>265000.0</v>
      </c>
      <c r="O15" s="186">
        <v>220000.0</v>
      </c>
      <c r="P15" s="171"/>
      <c r="Q15" s="186">
        <v>118000.0</v>
      </c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3" t="s">
        <v>355</v>
      </c>
      <c r="AC15" s="173" t="s">
        <v>355</v>
      </c>
      <c r="AD15" s="173" t="s">
        <v>355</v>
      </c>
      <c r="AE15" s="173" t="s">
        <v>355</v>
      </c>
      <c r="AF15" s="173" t="s">
        <v>355</v>
      </c>
      <c r="AG15" s="173" t="s">
        <v>355</v>
      </c>
      <c r="AH15" s="173" t="s">
        <v>355</v>
      </c>
      <c r="AI15" s="173" t="s">
        <v>355</v>
      </c>
      <c r="AJ15" s="173" t="s">
        <v>355</v>
      </c>
      <c r="AK15" s="173" t="s">
        <v>355</v>
      </c>
      <c r="AL15" s="173" t="s">
        <v>355</v>
      </c>
      <c r="AM15" s="173">
        <f>SUMIF('Отчет по марже'!D:D,A15,'Отчет по марже'!M:M)</f>
        <v>0</v>
      </c>
      <c r="AN15" s="147">
        <f t="shared" si="3"/>
        <v>0</v>
      </c>
      <c r="AO15" s="147">
        <f t="shared" si="4"/>
        <v>-118000</v>
      </c>
      <c r="AP15" s="174">
        <f t="shared" si="5"/>
        <v>1356534</v>
      </c>
      <c r="AQ15" s="183">
        <f t="shared" si="6"/>
        <v>0</v>
      </c>
      <c r="AR15" s="183">
        <f t="shared" si="7"/>
        <v>0.03618776395</v>
      </c>
      <c r="AS15" s="176" t="str">
        <f t="shared" si="8"/>
        <v>#REF!</v>
      </c>
      <c r="AT15" s="177">
        <f t="shared" si="9"/>
        <v>169566.75</v>
      </c>
      <c r="AU15" s="178">
        <v>59325.0</v>
      </c>
      <c r="AV15" s="179" t="str">
        <f t="shared" si="10"/>
        <v>#REF!</v>
      </c>
      <c r="AW15" s="178" t="s">
        <v>355</v>
      </c>
      <c r="AX15" s="180">
        <v>7.0</v>
      </c>
      <c r="AY15" s="180">
        <f t="shared" si="11"/>
        <v>7</v>
      </c>
      <c r="AZ15" s="181">
        <v>18.0</v>
      </c>
      <c r="BA15" s="182"/>
      <c r="BB15" s="182"/>
      <c r="BC15" s="182">
        <f t="shared" si="16"/>
        <v>7</v>
      </c>
      <c r="BD15" s="182">
        <f t="shared" si="12"/>
        <v>7</v>
      </c>
      <c r="BE15" s="182">
        <f t="shared" si="13"/>
        <v>7</v>
      </c>
      <c r="BF15" s="182">
        <f t="shared" si="14"/>
        <v>7</v>
      </c>
      <c r="BG15" s="182">
        <f t="shared" si="15"/>
        <v>19</v>
      </c>
      <c r="BH15" s="50"/>
      <c r="BI15" s="50"/>
      <c r="BJ15" s="50"/>
    </row>
    <row r="16">
      <c r="A16" s="151" t="s">
        <v>371</v>
      </c>
      <c r="B16" s="164" t="s">
        <v>18</v>
      </c>
      <c r="C16" s="170"/>
      <c r="D16" s="170"/>
      <c r="E16" s="170"/>
      <c r="F16" s="170"/>
      <c r="G16" s="170"/>
      <c r="H16" s="170"/>
      <c r="I16" s="170"/>
      <c r="J16" s="170"/>
      <c r="K16" s="171"/>
      <c r="L16" s="186">
        <v>40000.0</v>
      </c>
      <c r="M16" s="186">
        <v>60000.0</v>
      </c>
      <c r="N16" s="186">
        <v>60000.0</v>
      </c>
      <c r="O16" s="186">
        <v>90000.0</v>
      </c>
      <c r="P16" s="186">
        <v>150000.0</v>
      </c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3" t="s">
        <v>355</v>
      </c>
      <c r="AC16" s="173" t="s">
        <v>355</v>
      </c>
      <c r="AD16" s="173" t="s">
        <v>355</v>
      </c>
      <c r="AE16" s="173" t="s">
        <v>355</v>
      </c>
      <c r="AF16" s="173" t="s">
        <v>355</v>
      </c>
      <c r="AG16" s="173" t="s">
        <v>355</v>
      </c>
      <c r="AH16" s="173" t="s">
        <v>355</v>
      </c>
      <c r="AI16" s="173" t="s">
        <v>355</v>
      </c>
      <c r="AJ16" s="173" t="s">
        <v>355</v>
      </c>
      <c r="AK16" s="173" t="s">
        <v>355</v>
      </c>
      <c r="AL16" s="173" t="s">
        <v>355</v>
      </c>
      <c r="AM16" s="173">
        <f>SUMIF('Отчет по марже'!D:D,A16,'Отчет по марже'!M:M)</f>
        <v>0</v>
      </c>
      <c r="AN16" s="147">
        <f t="shared" si="3"/>
        <v>-150000</v>
      </c>
      <c r="AO16" s="147">
        <f t="shared" si="4"/>
        <v>0</v>
      </c>
      <c r="AP16" s="174">
        <f t="shared" si="5"/>
        <v>400000</v>
      </c>
      <c r="AQ16" s="183">
        <f t="shared" si="6"/>
        <v>0</v>
      </c>
      <c r="AR16" s="175">
        <f t="shared" si="7"/>
        <v>0.01067065446</v>
      </c>
      <c r="AS16" s="176" t="str">
        <f t="shared" si="8"/>
        <v>#REF!</v>
      </c>
      <c r="AT16" s="177">
        <f t="shared" si="9"/>
        <v>66666.66667</v>
      </c>
      <c r="AU16" s="178">
        <v>259000.0</v>
      </c>
      <c r="AV16" s="179" t="str">
        <f t="shared" si="10"/>
        <v>#REF!</v>
      </c>
      <c r="AW16" s="178" t="s">
        <v>372</v>
      </c>
      <c r="AX16" s="180">
        <v>9.0</v>
      </c>
      <c r="AY16" s="180">
        <f t="shared" si="11"/>
        <v>5</v>
      </c>
      <c r="AZ16" s="181">
        <v>17.0</v>
      </c>
      <c r="BA16" s="182"/>
      <c r="BB16" s="182"/>
      <c r="BC16" s="182">
        <f t="shared" si="16"/>
        <v>5</v>
      </c>
      <c r="BD16" s="182">
        <f t="shared" si="12"/>
        <v>5</v>
      </c>
      <c r="BE16" s="182">
        <f t="shared" si="13"/>
        <v>5</v>
      </c>
      <c r="BF16" s="182">
        <f t="shared" si="14"/>
        <v>5</v>
      </c>
      <c r="BG16" s="182">
        <f t="shared" si="15"/>
        <v>17</v>
      </c>
      <c r="BH16" s="50"/>
      <c r="BI16" s="50"/>
      <c r="BJ16" s="50"/>
    </row>
    <row r="17">
      <c r="A17" s="151" t="s">
        <v>373</v>
      </c>
      <c r="B17" s="164" t="s">
        <v>18</v>
      </c>
      <c r="C17" s="170"/>
      <c r="D17" s="170"/>
      <c r="E17" s="170"/>
      <c r="F17" s="170"/>
      <c r="G17" s="170"/>
      <c r="H17" s="170"/>
      <c r="I17" s="170"/>
      <c r="J17" s="170"/>
      <c r="K17" s="171"/>
      <c r="L17" s="171"/>
      <c r="M17" s="186">
        <v>26000.0</v>
      </c>
      <c r="N17" s="186">
        <v>48541.0</v>
      </c>
      <c r="O17" s="186">
        <v>-5800.0</v>
      </c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3" t="s">
        <v>355</v>
      </c>
      <c r="AC17" s="173" t="s">
        <v>355</v>
      </c>
      <c r="AD17" s="173" t="s">
        <v>355</v>
      </c>
      <c r="AE17" s="173" t="s">
        <v>355</v>
      </c>
      <c r="AF17" s="173" t="s">
        <v>355</v>
      </c>
      <c r="AG17" s="173" t="s">
        <v>355</v>
      </c>
      <c r="AH17" s="173" t="s">
        <v>355</v>
      </c>
      <c r="AI17" s="173" t="s">
        <v>355</v>
      </c>
      <c r="AJ17" s="173" t="s">
        <v>355</v>
      </c>
      <c r="AK17" s="173" t="s">
        <v>355</v>
      </c>
      <c r="AL17" s="173" t="s">
        <v>355</v>
      </c>
      <c r="AM17" s="173">
        <f>SUMIF('Отчет по марже'!D:D,A17,'Отчет по марже'!M:M)</f>
        <v>0</v>
      </c>
      <c r="AN17" s="147">
        <f t="shared" si="3"/>
        <v>0</v>
      </c>
      <c r="AO17" s="147">
        <f t="shared" si="4"/>
        <v>0</v>
      </c>
      <c r="AP17" s="174">
        <f t="shared" si="5"/>
        <v>68741</v>
      </c>
      <c r="AQ17" s="183">
        <f t="shared" si="6"/>
        <v>0</v>
      </c>
      <c r="AR17" s="183">
        <f t="shared" si="7"/>
        <v>0.001833778646</v>
      </c>
      <c r="AS17" s="176" t="str">
        <f t="shared" si="8"/>
        <v>#REF!</v>
      </c>
      <c r="AT17" s="177">
        <f t="shared" si="9"/>
        <v>17185.25</v>
      </c>
      <c r="AU17" s="146"/>
      <c r="AV17" s="184" t="str">
        <f t="shared" si="10"/>
        <v>#REF!</v>
      </c>
      <c r="AW17" s="178" t="s">
        <v>355</v>
      </c>
      <c r="AX17" s="180">
        <v>5.0</v>
      </c>
      <c r="AY17" s="180">
        <f t="shared" si="11"/>
        <v>2</v>
      </c>
      <c r="AZ17" s="181">
        <v>10.0</v>
      </c>
      <c r="BA17" s="182"/>
      <c r="BB17" s="182"/>
      <c r="BC17" s="182">
        <f t="shared" si="16"/>
        <v>3</v>
      </c>
      <c r="BD17" s="182">
        <f t="shared" si="12"/>
        <v>3</v>
      </c>
      <c r="BE17" s="182">
        <f t="shared" si="13"/>
        <v>3</v>
      </c>
      <c r="BF17" s="182">
        <f t="shared" si="14"/>
        <v>3</v>
      </c>
      <c r="BG17" s="182">
        <f t="shared" si="15"/>
        <v>15</v>
      </c>
      <c r="BH17" s="50"/>
      <c r="BI17" s="50"/>
      <c r="BJ17" s="50"/>
    </row>
    <row r="18">
      <c r="A18" s="151" t="s">
        <v>374</v>
      </c>
      <c r="B18" s="164" t="s">
        <v>18</v>
      </c>
      <c r="C18" s="170"/>
      <c r="D18" s="170"/>
      <c r="E18" s="170"/>
      <c r="F18" s="170"/>
      <c r="G18" s="170"/>
      <c r="H18" s="170"/>
      <c r="I18" s="170"/>
      <c r="J18" s="170"/>
      <c r="K18" s="171"/>
      <c r="L18" s="171"/>
      <c r="M18" s="186">
        <v>200000.0</v>
      </c>
      <c r="N18" s="186">
        <v>200000.0</v>
      </c>
      <c r="O18" s="186">
        <v>198000.0</v>
      </c>
      <c r="P18" s="186">
        <v>200000.0</v>
      </c>
      <c r="Q18" s="186">
        <v>200000.0</v>
      </c>
      <c r="R18" s="186">
        <v>200000.0</v>
      </c>
      <c r="S18" s="186">
        <v>200000.0</v>
      </c>
      <c r="T18" s="186">
        <v>200000.0</v>
      </c>
      <c r="U18" s="186">
        <v>150000.0</v>
      </c>
      <c r="V18" s="186">
        <v>204167.0</v>
      </c>
      <c r="W18" s="186">
        <v>200000.0</v>
      </c>
      <c r="X18" s="172">
        <v>200000.0</v>
      </c>
      <c r="Y18" s="172">
        <v>200000.0</v>
      </c>
      <c r="Z18" s="172">
        <v>200000.0</v>
      </c>
      <c r="AA18" s="172">
        <v>100000.0</v>
      </c>
      <c r="AB18" s="173">
        <v>200000.0</v>
      </c>
      <c r="AC18" s="173" t="s">
        <v>355</v>
      </c>
      <c r="AD18" s="173" t="s">
        <v>355</v>
      </c>
      <c r="AE18" s="173" t="s">
        <v>355</v>
      </c>
      <c r="AF18" s="173" t="s">
        <v>355</v>
      </c>
      <c r="AG18" s="173" t="s">
        <v>355</v>
      </c>
      <c r="AH18" s="173" t="s">
        <v>355</v>
      </c>
      <c r="AI18" s="173" t="s">
        <v>355</v>
      </c>
      <c r="AJ18" s="173" t="s">
        <v>355</v>
      </c>
      <c r="AK18" s="173" t="s">
        <v>355</v>
      </c>
      <c r="AL18" s="173" t="s">
        <v>355</v>
      </c>
      <c r="AM18" s="173">
        <f>SUMIF('Отчет по марже'!D:D,A18,'Отчет по марже'!M:M)</f>
        <v>0</v>
      </c>
      <c r="AN18" s="147">
        <f t="shared" si="3"/>
        <v>-200000</v>
      </c>
      <c r="AO18" s="147">
        <f t="shared" si="4"/>
        <v>-54167</v>
      </c>
      <c r="AP18" s="174">
        <f t="shared" si="5"/>
        <v>3052167</v>
      </c>
      <c r="AQ18" s="183">
        <f t="shared" si="6"/>
        <v>0</v>
      </c>
      <c r="AR18" s="183">
        <f t="shared" si="7"/>
        <v>0.08142154854</v>
      </c>
      <c r="AS18" s="176" t="str">
        <f t="shared" si="8"/>
        <v>#REF!</v>
      </c>
      <c r="AT18" s="177">
        <f t="shared" si="9"/>
        <v>179539.2353</v>
      </c>
      <c r="AU18" s="146"/>
      <c r="AV18" s="184" t="str">
        <f t="shared" si="10"/>
        <v>#REF!</v>
      </c>
      <c r="AW18" s="178" t="s">
        <v>355</v>
      </c>
      <c r="AX18" s="180">
        <v>5.0</v>
      </c>
      <c r="AY18" s="180">
        <f t="shared" si="11"/>
        <v>9</v>
      </c>
      <c r="AZ18" s="181">
        <v>4.0</v>
      </c>
      <c r="BA18" s="182"/>
      <c r="BB18" s="182"/>
      <c r="BC18" s="182">
        <f t="shared" si="16"/>
        <v>5</v>
      </c>
      <c r="BD18" s="182">
        <f t="shared" si="12"/>
        <v>15</v>
      </c>
      <c r="BE18" s="182">
        <f t="shared" si="13"/>
        <v>15</v>
      </c>
      <c r="BF18" s="182">
        <f t="shared" si="14"/>
        <v>15</v>
      </c>
      <c r="BG18" s="182">
        <f t="shared" si="15"/>
        <v>27</v>
      </c>
      <c r="BH18" s="50"/>
      <c r="BI18" s="50"/>
      <c r="BJ18" s="50"/>
    </row>
    <row r="19">
      <c r="A19" s="151" t="s">
        <v>375</v>
      </c>
      <c r="B19" s="164" t="s">
        <v>18</v>
      </c>
      <c r="C19" s="170"/>
      <c r="D19" s="170"/>
      <c r="E19" s="170"/>
      <c r="F19" s="170"/>
      <c r="G19" s="170"/>
      <c r="H19" s="170"/>
      <c r="I19" s="170"/>
      <c r="J19" s="170"/>
      <c r="K19" s="171"/>
      <c r="L19" s="171"/>
      <c r="M19" s="171"/>
      <c r="N19" s="171"/>
      <c r="O19" s="186">
        <v>31327.77</v>
      </c>
      <c r="P19" s="186">
        <v>30000.0</v>
      </c>
      <c r="Q19" s="186">
        <v>30426.99</v>
      </c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3" t="s">
        <v>355</v>
      </c>
      <c r="AC19" s="173" t="s">
        <v>355</v>
      </c>
      <c r="AD19" s="173" t="s">
        <v>355</v>
      </c>
      <c r="AE19" s="173" t="s">
        <v>355</v>
      </c>
      <c r="AF19" s="173" t="s">
        <v>355</v>
      </c>
      <c r="AG19" s="173" t="s">
        <v>355</v>
      </c>
      <c r="AH19" s="173" t="s">
        <v>355</v>
      </c>
      <c r="AI19" s="173" t="s">
        <v>355</v>
      </c>
      <c r="AJ19" s="173" t="s">
        <v>355</v>
      </c>
      <c r="AK19" s="173" t="s">
        <v>355</v>
      </c>
      <c r="AL19" s="173" t="s">
        <v>355</v>
      </c>
      <c r="AM19" s="173">
        <f>SUMIF('Отчет по марже'!D:D,A19,'Отчет по марже'!M:M)</f>
        <v>0</v>
      </c>
      <c r="AN19" s="147">
        <f t="shared" si="3"/>
        <v>-30000</v>
      </c>
      <c r="AO19" s="147">
        <f t="shared" si="4"/>
        <v>-30426.99</v>
      </c>
      <c r="AP19" s="174">
        <f t="shared" si="5"/>
        <v>91754.76</v>
      </c>
      <c r="AQ19" s="175">
        <f t="shared" si="6"/>
        <v>0</v>
      </c>
      <c r="AR19" s="175">
        <f t="shared" si="7"/>
        <v>0.002447708348</v>
      </c>
      <c r="AS19" s="190"/>
      <c r="AT19" s="177">
        <f t="shared" si="9"/>
        <v>22938.69</v>
      </c>
      <c r="AU19" s="178">
        <v>200000.0</v>
      </c>
      <c r="AV19" s="179" t="str">
        <f t="shared" si="10"/>
        <v>#REF!</v>
      </c>
      <c r="AW19" s="178" t="s">
        <v>376</v>
      </c>
      <c r="AX19" s="180">
        <v>5.0</v>
      </c>
      <c r="AY19" s="180">
        <f t="shared" si="11"/>
        <v>3</v>
      </c>
      <c r="AZ19" s="181">
        <v>12.0</v>
      </c>
      <c r="BA19" s="182"/>
      <c r="BB19" s="182"/>
      <c r="BC19" s="182">
        <f t="shared" si="16"/>
        <v>3</v>
      </c>
      <c r="BD19" s="182">
        <f t="shared" si="12"/>
        <v>3</v>
      </c>
      <c r="BE19" s="182">
        <f t="shared" si="13"/>
        <v>3</v>
      </c>
      <c r="BF19" s="182">
        <f t="shared" si="14"/>
        <v>3</v>
      </c>
      <c r="BG19" s="182">
        <f t="shared" si="15"/>
        <v>15</v>
      </c>
      <c r="BH19" s="50"/>
      <c r="BI19" s="50"/>
      <c r="BJ19" s="50"/>
    </row>
    <row r="20">
      <c r="A20" s="151" t="s">
        <v>377</v>
      </c>
      <c r="B20" s="164" t="s">
        <v>18</v>
      </c>
      <c r="C20" s="170"/>
      <c r="D20" s="170"/>
      <c r="E20" s="170"/>
      <c r="F20" s="170"/>
      <c r="G20" s="170"/>
      <c r="H20" s="170"/>
      <c r="I20" s="170"/>
      <c r="J20" s="170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86">
        <v>116666.67</v>
      </c>
      <c r="W20" s="186">
        <v>46666.67</v>
      </c>
      <c r="X20" s="186">
        <v>46666.67</v>
      </c>
      <c r="Y20" s="191">
        <v>-11786.07</v>
      </c>
      <c r="Z20" s="171"/>
      <c r="AA20" s="171"/>
      <c r="AB20" s="173" t="s">
        <v>355</v>
      </c>
      <c r="AC20" s="173" t="s">
        <v>355</v>
      </c>
      <c r="AD20" s="173" t="s">
        <v>355</v>
      </c>
      <c r="AE20" s="173" t="s">
        <v>355</v>
      </c>
      <c r="AF20" s="173" t="s">
        <v>355</v>
      </c>
      <c r="AG20" s="173" t="s">
        <v>355</v>
      </c>
      <c r="AH20" s="173" t="s">
        <v>355</v>
      </c>
      <c r="AI20" s="173" t="s">
        <v>355</v>
      </c>
      <c r="AJ20" s="173" t="s">
        <v>355</v>
      </c>
      <c r="AK20" s="173" t="s">
        <v>355</v>
      </c>
      <c r="AL20" s="173" t="s">
        <v>355</v>
      </c>
      <c r="AM20" s="173">
        <f>SUMIF('Отчет по марже'!D:D,A20,'Отчет по марже'!M:M)</f>
        <v>0</v>
      </c>
      <c r="AN20" s="147">
        <f t="shared" si="3"/>
        <v>0</v>
      </c>
      <c r="AO20" s="147">
        <f t="shared" si="4"/>
        <v>-35119.4</v>
      </c>
      <c r="AP20" s="174">
        <f t="shared" si="5"/>
        <v>198213.94</v>
      </c>
      <c r="AQ20" s="183">
        <f t="shared" si="6"/>
        <v>0</v>
      </c>
      <c r="AR20" s="175">
        <f t="shared" si="7"/>
        <v>0.005287681158</v>
      </c>
      <c r="AS20" s="190"/>
      <c r="AT20" s="177">
        <f t="shared" si="9"/>
        <v>39642.788</v>
      </c>
      <c r="AU20" s="178">
        <v>194583.0</v>
      </c>
      <c r="AV20" s="179" t="str">
        <f t="shared" si="10"/>
        <v>#REF!</v>
      </c>
      <c r="AW20" s="178" t="s">
        <v>378</v>
      </c>
      <c r="AX20" s="180">
        <v>7.0</v>
      </c>
      <c r="AY20" s="180">
        <f t="shared" si="11"/>
        <v>0</v>
      </c>
      <c r="AZ20" s="181">
        <v>13.0</v>
      </c>
      <c r="BA20" s="182"/>
      <c r="BB20" s="182"/>
      <c r="BC20" s="182">
        <f t="shared" si="16"/>
        <v>0</v>
      </c>
      <c r="BD20" s="182">
        <f t="shared" si="12"/>
        <v>4</v>
      </c>
      <c r="BE20" s="182">
        <f t="shared" si="13"/>
        <v>4</v>
      </c>
      <c r="BF20" s="182">
        <f t="shared" si="14"/>
        <v>4</v>
      </c>
      <c r="BG20" s="182">
        <f t="shared" si="15"/>
        <v>16</v>
      </c>
      <c r="BH20" s="50"/>
      <c r="BI20" s="50"/>
      <c r="BJ20" s="50"/>
    </row>
    <row r="21">
      <c r="A21" s="151" t="s">
        <v>379</v>
      </c>
      <c r="B21" s="164" t="s">
        <v>18</v>
      </c>
      <c r="C21" s="170"/>
      <c r="D21" s="170"/>
      <c r="E21" s="170"/>
      <c r="F21" s="170"/>
      <c r="G21" s="170"/>
      <c r="H21" s="170"/>
      <c r="I21" s="170"/>
      <c r="J21" s="170"/>
      <c r="K21" s="171"/>
      <c r="L21" s="171"/>
      <c r="M21" s="171"/>
      <c r="N21" s="171"/>
      <c r="O21" s="171"/>
      <c r="P21" s="171"/>
      <c r="Q21" s="186">
        <v>83333.0</v>
      </c>
      <c r="R21" s="186">
        <v>100000.0</v>
      </c>
      <c r="S21" s="171"/>
      <c r="T21" s="171"/>
      <c r="U21" s="186">
        <v>100000.0</v>
      </c>
      <c r="V21" s="186">
        <v>100000.0</v>
      </c>
      <c r="W21" s="186">
        <v>100000.0</v>
      </c>
      <c r="X21" s="172">
        <v>100000.0</v>
      </c>
      <c r="Y21" s="172">
        <v>100000.0</v>
      </c>
      <c r="Z21" s="171"/>
      <c r="AA21" s="171"/>
      <c r="AB21" s="173" t="s">
        <v>355</v>
      </c>
      <c r="AC21" s="173" t="s">
        <v>355</v>
      </c>
      <c r="AD21" s="173" t="s">
        <v>355</v>
      </c>
      <c r="AE21" s="173" t="s">
        <v>355</v>
      </c>
      <c r="AF21" s="173" t="s">
        <v>355</v>
      </c>
      <c r="AG21" s="173" t="s">
        <v>355</v>
      </c>
      <c r="AH21" s="173" t="s">
        <v>355</v>
      </c>
      <c r="AI21" s="173" t="s">
        <v>355</v>
      </c>
      <c r="AJ21" s="173" t="s">
        <v>355</v>
      </c>
      <c r="AK21" s="173" t="s">
        <v>355</v>
      </c>
      <c r="AL21" s="173" t="s">
        <v>355</v>
      </c>
      <c r="AM21" s="173">
        <f>SUMIF('Отчет по марже'!D:D,A21,'Отчет по марже'!M:M)</f>
        <v>0</v>
      </c>
      <c r="AN21" s="147">
        <f t="shared" si="3"/>
        <v>0</v>
      </c>
      <c r="AO21" s="147">
        <f t="shared" si="4"/>
        <v>-83333</v>
      </c>
      <c r="AP21" s="174">
        <f t="shared" si="5"/>
        <v>683333</v>
      </c>
      <c r="AQ21" s="183">
        <f t="shared" si="6"/>
        <v>0</v>
      </c>
      <c r="AR21" s="183">
        <f t="shared" si="7"/>
        <v>0.01822902581</v>
      </c>
      <c r="AS21" s="190"/>
      <c r="AT21" s="177">
        <f t="shared" si="9"/>
        <v>85416.625</v>
      </c>
      <c r="AU21" s="178">
        <v>102000.0</v>
      </c>
      <c r="AV21" s="179" t="str">
        <f t="shared" si="10"/>
        <v>#REF!</v>
      </c>
      <c r="AW21" s="178" t="s">
        <v>355</v>
      </c>
      <c r="AX21" s="180">
        <v>7.0</v>
      </c>
      <c r="AY21" s="180">
        <f t="shared" si="11"/>
        <v>3</v>
      </c>
      <c r="AZ21" s="181">
        <v>13.0</v>
      </c>
      <c r="BA21" s="182"/>
      <c r="BB21" s="182"/>
      <c r="BC21" s="182">
        <f t="shared" si="16"/>
        <v>1</v>
      </c>
      <c r="BD21" s="182">
        <f t="shared" si="12"/>
        <v>7</v>
      </c>
      <c r="BE21" s="182">
        <f t="shared" si="13"/>
        <v>7</v>
      </c>
      <c r="BF21" s="182">
        <f t="shared" si="14"/>
        <v>7</v>
      </c>
      <c r="BG21" s="182">
        <f t="shared" si="15"/>
        <v>19</v>
      </c>
      <c r="BH21" s="50"/>
      <c r="BI21" s="50"/>
      <c r="BJ21" s="50"/>
    </row>
    <row r="22">
      <c r="A22" s="151" t="s">
        <v>380</v>
      </c>
      <c r="B22" s="164" t="s">
        <v>18</v>
      </c>
      <c r="C22" s="170"/>
      <c r="D22" s="170"/>
      <c r="E22" s="170"/>
      <c r="F22" s="170"/>
      <c r="G22" s="170"/>
      <c r="H22" s="170"/>
      <c r="I22" s="170"/>
      <c r="J22" s="170"/>
      <c r="K22" s="171"/>
      <c r="L22" s="171"/>
      <c r="M22" s="171"/>
      <c r="N22" s="171"/>
      <c r="O22" s="171"/>
      <c r="P22" s="171"/>
      <c r="Q22" s="171"/>
      <c r="R22" s="186">
        <v>108333.0</v>
      </c>
      <c r="S22" s="186">
        <v>100000.0</v>
      </c>
      <c r="T22" s="186">
        <v>100000.0</v>
      </c>
      <c r="U22" s="171"/>
      <c r="V22" s="171"/>
      <c r="W22" s="171"/>
      <c r="X22" s="171"/>
      <c r="Y22" s="171"/>
      <c r="Z22" s="171"/>
      <c r="AA22" s="171"/>
      <c r="AB22" s="173" t="s">
        <v>355</v>
      </c>
      <c r="AC22" s="173" t="s">
        <v>355</v>
      </c>
      <c r="AD22" s="173" t="s">
        <v>355</v>
      </c>
      <c r="AE22" s="173" t="s">
        <v>355</v>
      </c>
      <c r="AF22" s="173" t="s">
        <v>355</v>
      </c>
      <c r="AG22" s="173" t="s">
        <v>355</v>
      </c>
      <c r="AH22" s="173" t="s">
        <v>355</v>
      </c>
      <c r="AI22" s="173" t="s">
        <v>355</v>
      </c>
      <c r="AJ22" s="173" t="s">
        <v>355</v>
      </c>
      <c r="AK22" s="173" t="s">
        <v>355</v>
      </c>
      <c r="AL22" s="173" t="s">
        <v>355</v>
      </c>
      <c r="AM22" s="173">
        <f>SUMIF('Отчет по марже'!D:D,A22,'Отчет по марже'!M:M)</f>
        <v>0</v>
      </c>
      <c r="AN22" s="147">
        <f t="shared" si="3"/>
        <v>0</v>
      </c>
      <c r="AO22" s="147">
        <f t="shared" si="4"/>
        <v>-308333</v>
      </c>
      <c r="AP22" s="174">
        <f t="shared" si="5"/>
        <v>308333</v>
      </c>
      <c r="AQ22" s="183">
        <f t="shared" si="6"/>
        <v>0</v>
      </c>
      <c r="AR22" s="183">
        <f t="shared" si="7"/>
        <v>0.008225287255</v>
      </c>
      <c r="AS22" s="190"/>
      <c r="AT22" s="177">
        <f t="shared" si="9"/>
        <v>77083.25</v>
      </c>
      <c r="AU22" s="146"/>
      <c r="AV22" s="184" t="str">
        <f t="shared" si="10"/>
        <v>#REF!</v>
      </c>
      <c r="AW22" s="178" t="s">
        <v>355</v>
      </c>
      <c r="AX22" s="50"/>
      <c r="AY22" s="180">
        <f t="shared" si="11"/>
        <v>3</v>
      </c>
      <c r="AZ22" s="180">
        <v>3.0</v>
      </c>
      <c r="BA22" s="182"/>
      <c r="BB22" s="182"/>
      <c r="BC22" s="182">
        <f t="shared" si="16"/>
        <v>0</v>
      </c>
      <c r="BD22" s="182">
        <f t="shared" si="12"/>
        <v>3</v>
      </c>
      <c r="BE22" s="182">
        <f t="shared" si="13"/>
        <v>3</v>
      </c>
      <c r="BF22" s="182">
        <f t="shared" si="14"/>
        <v>3</v>
      </c>
      <c r="BG22" s="182">
        <f t="shared" si="15"/>
        <v>15</v>
      </c>
      <c r="BH22" s="50"/>
      <c r="BI22" s="50"/>
      <c r="BJ22" s="50"/>
    </row>
    <row r="23">
      <c r="A23" s="151" t="s">
        <v>381</v>
      </c>
      <c r="B23" s="164" t="s">
        <v>18</v>
      </c>
      <c r="C23" s="170"/>
      <c r="D23" s="170"/>
      <c r="E23" s="170"/>
      <c r="F23" s="170"/>
      <c r="G23" s="170"/>
      <c r="H23" s="170"/>
      <c r="I23" s="170"/>
      <c r="J23" s="170"/>
      <c r="K23" s="171"/>
      <c r="L23" s="171"/>
      <c r="M23" s="171"/>
      <c r="N23" s="171"/>
      <c r="O23" s="171"/>
      <c r="P23" s="171"/>
      <c r="Q23" s="171"/>
      <c r="R23" s="186">
        <v>220000.0</v>
      </c>
      <c r="S23" s="171"/>
      <c r="T23" s="171"/>
      <c r="U23" s="171"/>
      <c r="V23" s="171"/>
      <c r="W23" s="171"/>
      <c r="X23" s="171"/>
      <c r="Y23" s="171"/>
      <c r="Z23" s="171"/>
      <c r="AA23" s="171"/>
      <c r="AB23" s="173" t="s">
        <v>355</v>
      </c>
      <c r="AC23" s="173" t="s">
        <v>355</v>
      </c>
      <c r="AD23" s="173" t="s">
        <v>355</v>
      </c>
      <c r="AE23" s="173" t="s">
        <v>355</v>
      </c>
      <c r="AF23" s="173" t="s">
        <v>355</v>
      </c>
      <c r="AG23" s="173" t="s">
        <v>355</v>
      </c>
      <c r="AH23" s="173" t="s">
        <v>355</v>
      </c>
      <c r="AI23" s="173" t="s">
        <v>355</v>
      </c>
      <c r="AJ23" s="173" t="s">
        <v>355</v>
      </c>
      <c r="AK23" s="173" t="s">
        <v>355</v>
      </c>
      <c r="AL23" s="173" t="s">
        <v>355</v>
      </c>
      <c r="AM23" s="173">
        <f>SUMIF('Отчет по марже'!D:D,A23,'Отчет по марже'!M:M)</f>
        <v>0</v>
      </c>
      <c r="AN23" s="147">
        <f t="shared" si="3"/>
        <v>0</v>
      </c>
      <c r="AO23" s="147">
        <f t="shared" si="4"/>
        <v>-220000</v>
      </c>
      <c r="AP23" s="174">
        <f t="shared" si="5"/>
        <v>220000</v>
      </c>
      <c r="AQ23" s="183">
        <f t="shared" si="6"/>
        <v>0</v>
      </c>
      <c r="AR23" s="183">
        <f t="shared" si="7"/>
        <v>0.005868859954</v>
      </c>
      <c r="AS23" s="190"/>
      <c r="AT23" s="177">
        <f t="shared" si="9"/>
        <v>110000</v>
      </c>
      <c r="AU23" s="178">
        <v>102000.0</v>
      </c>
      <c r="AV23" s="179" t="str">
        <f t="shared" si="10"/>
        <v>#REF!</v>
      </c>
      <c r="AW23" s="178" t="s">
        <v>355</v>
      </c>
      <c r="AX23" s="180">
        <v>4.0</v>
      </c>
      <c r="AY23" s="180">
        <f t="shared" si="11"/>
        <v>1</v>
      </c>
      <c r="AZ23" s="181">
        <v>10.0</v>
      </c>
      <c r="BA23" s="182"/>
      <c r="BB23" s="182"/>
      <c r="BC23" s="182">
        <f t="shared" si="16"/>
        <v>0</v>
      </c>
      <c r="BD23" s="182">
        <f t="shared" si="12"/>
        <v>1</v>
      </c>
      <c r="BE23" s="182">
        <f t="shared" si="13"/>
        <v>1</v>
      </c>
      <c r="BF23" s="182">
        <f t="shared" si="14"/>
        <v>1</v>
      </c>
      <c r="BG23" s="182">
        <f t="shared" si="15"/>
        <v>13</v>
      </c>
      <c r="BH23" s="50"/>
      <c r="BI23" s="50"/>
      <c r="BJ23" s="50"/>
    </row>
    <row r="24">
      <c r="A24" s="151" t="s">
        <v>382</v>
      </c>
      <c r="B24" s="164" t="s">
        <v>18</v>
      </c>
      <c r="C24" s="170"/>
      <c r="D24" s="170"/>
      <c r="E24" s="170"/>
      <c r="F24" s="170"/>
      <c r="G24" s="170"/>
      <c r="H24" s="170"/>
      <c r="I24" s="170"/>
      <c r="J24" s="170"/>
      <c r="K24" s="171"/>
      <c r="L24" s="171"/>
      <c r="M24" s="171"/>
      <c r="N24" s="171"/>
      <c r="O24" s="171"/>
      <c r="P24" s="171"/>
      <c r="Q24" s="171"/>
      <c r="R24" s="171"/>
      <c r="S24" s="186">
        <v>110000.0</v>
      </c>
      <c r="T24" s="186">
        <v>110000.0</v>
      </c>
      <c r="U24" s="186">
        <v>110000.0</v>
      </c>
      <c r="V24" s="186">
        <v>110000.0</v>
      </c>
      <c r="W24" s="186">
        <v>110000.0</v>
      </c>
      <c r="X24" s="172">
        <v>110000.0</v>
      </c>
      <c r="Y24" s="172">
        <v>110000.0</v>
      </c>
      <c r="Z24" s="172">
        <v>110000.0</v>
      </c>
      <c r="AA24" s="172">
        <v>110000.0</v>
      </c>
      <c r="AB24" s="173">
        <v>110000.0</v>
      </c>
      <c r="AC24" s="173" t="s">
        <v>355</v>
      </c>
      <c r="AD24" s="173" t="s">
        <v>355</v>
      </c>
      <c r="AE24" s="173" t="s">
        <v>355</v>
      </c>
      <c r="AF24" s="173" t="s">
        <v>355</v>
      </c>
      <c r="AG24" s="173" t="s">
        <v>355</v>
      </c>
      <c r="AH24" s="173" t="s">
        <v>355</v>
      </c>
      <c r="AI24" s="173" t="s">
        <v>355</v>
      </c>
      <c r="AJ24" s="173" t="s">
        <v>355</v>
      </c>
      <c r="AK24" s="173" t="s">
        <v>355</v>
      </c>
      <c r="AL24" s="173" t="s">
        <v>355</v>
      </c>
      <c r="AM24" s="173">
        <f>SUMIF('Отчет по марже'!D:D,A24,'Отчет по марже'!M:M)</f>
        <v>0</v>
      </c>
      <c r="AN24" s="147">
        <f t="shared" si="3"/>
        <v>0</v>
      </c>
      <c r="AO24" s="147">
        <f t="shared" si="4"/>
        <v>220000</v>
      </c>
      <c r="AP24" s="174">
        <f t="shared" si="5"/>
        <v>1100000</v>
      </c>
      <c r="AQ24" s="183">
        <f t="shared" si="6"/>
        <v>0</v>
      </c>
      <c r="AR24" s="183">
        <f t="shared" si="7"/>
        <v>0.02934429977</v>
      </c>
      <c r="AS24" s="190"/>
      <c r="AT24" s="177">
        <f t="shared" si="9"/>
        <v>100000</v>
      </c>
      <c r="AU24" s="178">
        <v>93000.0</v>
      </c>
      <c r="AV24" s="179" t="str">
        <f t="shared" si="10"/>
        <v>#REF!</v>
      </c>
      <c r="AW24" s="178" t="s">
        <v>355</v>
      </c>
      <c r="AX24" s="180">
        <v>5.0</v>
      </c>
      <c r="AY24" s="180">
        <f t="shared" si="11"/>
        <v>3</v>
      </c>
      <c r="AZ24" s="181">
        <v>8.0</v>
      </c>
      <c r="BA24" s="182"/>
      <c r="BB24" s="182"/>
      <c r="BC24" s="182">
        <f t="shared" si="16"/>
        <v>0</v>
      </c>
      <c r="BD24" s="182">
        <f t="shared" si="12"/>
        <v>9</v>
      </c>
      <c r="BE24" s="182">
        <f t="shared" si="13"/>
        <v>9</v>
      </c>
      <c r="BF24" s="182">
        <f t="shared" si="14"/>
        <v>9</v>
      </c>
      <c r="BG24" s="182">
        <f t="shared" si="15"/>
        <v>21</v>
      </c>
      <c r="BH24" s="50"/>
      <c r="BI24" s="50"/>
      <c r="BJ24" s="50"/>
    </row>
    <row r="25">
      <c r="A25" s="151" t="s">
        <v>383</v>
      </c>
      <c r="B25" s="164" t="s">
        <v>18</v>
      </c>
      <c r="C25" s="170"/>
      <c r="D25" s="170"/>
      <c r="E25" s="170"/>
      <c r="F25" s="170"/>
      <c r="G25" s="170"/>
      <c r="H25" s="170"/>
      <c r="I25" s="170"/>
      <c r="J25" s="170"/>
      <c r="K25" s="171"/>
      <c r="L25" s="171"/>
      <c r="M25" s="171"/>
      <c r="N25" s="171"/>
      <c r="O25" s="171"/>
      <c r="P25" s="171"/>
      <c r="Q25" s="171"/>
      <c r="R25" s="171"/>
      <c r="S25" s="186">
        <v>335500.0</v>
      </c>
      <c r="T25" s="171"/>
      <c r="U25" s="171"/>
      <c r="V25" s="171"/>
      <c r="W25" s="171"/>
      <c r="X25" s="171"/>
      <c r="Y25" s="171"/>
      <c r="Z25" s="171"/>
      <c r="AA25" s="171"/>
      <c r="AB25" s="173" t="s">
        <v>355</v>
      </c>
      <c r="AC25" s="173" t="s">
        <v>355</v>
      </c>
      <c r="AD25" s="173" t="s">
        <v>355</v>
      </c>
      <c r="AE25" s="173" t="s">
        <v>355</v>
      </c>
      <c r="AF25" s="173" t="s">
        <v>355</v>
      </c>
      <c r="AG25" s="173" t="s">
        <v>355</v>
      </c>
      <c r="AH25" s="173" t="s">
        <v>355</v>
      </c>
      <c r="AI25" s="173" t="s">
        <v>355</v>
      </c>
      <c r="AJ25" s="173" t="s">
        <v>355</v>
      </c>
      <c r="AK25" s="173" t="s">
        <v>355</v>
      </c>
      <c r="AL25" s="173" t="s">
        <v>355</v>
      </c>
      <c r="AM25" s="173">
        <f>SUMIF('Отчет по марже'!D:D,A25,'Отчет по марже'!M:M)</f>
        <v>0</v>
      </c>
      <c r="AN25" s="147">
        <f t="shared" si="3"/>
        <v>0</v>
      </c>
      <c r="AO25" s="147">
        <f t="shared" si="4"/>
        <v>-335500</v>
      </c>
      <c r="AP25" s="174">
        <f t="shared" si="5"/>
        <v>335500</v>
      </c>
      <c r="AQ25" s="183">
        <f t="shared" si="6"/>
        <v>0</v>
      </c>
      <c r="AR25" s="183">
        <f t="shared" si="7"/>
        <v>0.008950011429</v>
      </c>
      <c r="AS25" s="190"/>
      <c r="AT25" s="177">
        <f t="shared" si="9"/>
        <v>167750</v>
      </c>
      <c r="AU25" s="178">
        <v>131000.0</v>
      </c>
      <c r="AV25" s="179" t="str">
        <f t="shared" si="10"/>
        <v>#REF!</v>
      </c>
      <c r="AW25" s="178" t="s">
        <v>355</v>
      </c>
      <c r="AX25" s="180">
        <v>5.0</v>
      </c>
      <c r="AY25" s="180">
        <f t="shared" si="11"/>
        <v>1</v>
      </c>
      <c r="AZ25" s="181">
        <v>8.0</v>
      </c>
      <c r="BA25" s="182"/>
      <c r="BB25" s="182"/>
      <c r="BC25" s="182">
        <f t="shared" si="16"/>
        <v>0</v>
      </c>
      <c r="BD25" s="182">
        <f t="shared" si="12"/>
        <v>1</v>
      </c>
      <c r="BE25" s="182">
        <f t="shared" si="13"/>
        <v>1</v>
      </c>
      <c r="BF25" s="182">
        <f t="shared" si="14"/>
        <v>1</v>
      </c>
      <c r="BG25" s="182">
        <f t="shared" si="15"/>
        <v>13</v>
      </c>
      <c r="BH25" s="50"/>
      <c r="BI25" s="50"/>
      <c r="BJ25" s="50"/>
    </row>
    <row r="26">
      <c r="A26" s="151" t="s">
        <v>384</v>
      </c>
      <c r="B26" s="164" t="s">
        <v>18</v>
      </c>
      <c r="C26" s="170"/>
      <c r="D26" s="170"/>
      <c r="E26" s="170"/>
      <c r="F26" s="170"/>
      <c r="G26" s="170"/>
      <c r="H26" s="170"/>
      <c r="I26" s="170"/>
      <c r="J26" s="170"/>
      <c r="K26" s="171"/>
      <c r="L26" s="171"/>
      <c r="M26" s="171"/>
      <c r="N26" s="171"/>
      <c r="O26" s="171"/>
      <c r="P26" s="171"/>
      <c r="Q26" s="171"/>
      <c r="R26" s="171"/>
      <c r="S26" s="186">
        <v>233333.0</v>
      </c>
      <c r="T26" s="171"/>
      <c r="U26" s="171"/>
      <c r="V26" s="186">
        <v>233333.0</v>
      </c>
      <c r="W26" s="186">
        <v>116667.0</v>
      </c>
      <c r="X26" s="172">
        <v>184409.0</v>
      </c>
      <c r="Y26" s="172">
        <v>233333.33</v>
      </c>
      <c r="Z26" s="172">
        <v>341666.67</v>
      </c>
      <c r="AA26" s="172">
        <v>300000.0</v>
      </c>
      <c r="AB26" s="173">
        <v>300000.0</v>
      </c>
      <c r="AC26" s="173" t="s">
        <v>355</v>
      </c>
      <c r="AD26" s="173" t="s">
        <v>355</v>
      </c>
      <c r="AE26" s="173" t="s">
        <v>355</v>
      </c>
      <c r="AF26" s="173" t="s">
        <v>355</v>
      </c>
      <c r="AG26" s="173" t="s">
        <v>355</v>
      </c>
      <c r="AH26" s="173" t="s">
        <v>355</v>
      </c>
      <c r="AI26" s="173" t="s">
        <v>355</v>
      </c>
      <c r="AJ26" s="173" t="s">
        <v>355</v>
      </c>
      <c r="AK26" s="173" t="s">
        <v>355</v>
      </c>
      <c r="AL26" s="173" t="s">
        <v>355</v>
      </c>
      <c r="AM26" s="173">
        <f>SUMIF('Отчет по марже'!D:D,A26,'Отчет по марже'!M:M)</f>
        <v>0</v>
      </c>
      <c r="AN26" s="147">
        <f t="shared" si="3"/>
        <v>0</v>
      </c>
      <c r="AO26" s="147">
        <f t="shared" si="4"/>
        <v>1009410</v>
      </c>
      <c r="AP26" s="174">
        <f t="shared" si="5"/>
        <v>1942742</v>
      </c>
      <c r="AQ26" s="183">
        <f t="shared" si="6"/>
        <v>0</v>
      </c>
      <c r="AR26" s="183">
        <f t="shared" si="7"/>
        <v>0.05182582147</v>
      </c>
      <c r="AS26" s="190"/>
      <c r="AT26" s="177">
        <f t="shared" si="9"/>
        <v>215860.2222</v>
      </c>
      <c r="AU26" s="178">
        <v>40000.0</v>
      </c>
      <c r="AV26" s="179" t="str">
        <f t="shared" si="10"/>
        <v>#REF!</v>
      </c>
      <c r="AW26" s="178" t="s">
        <v>355</v>
      </c>
      <c r="AX26" s="180">
        <v>5.0</v>
      </c>
      <c r="AY26" s="180">
        <f t="shared" si="11"/>
        <v>1</v>
      </c>
      <c r="AZ26" s="181">
        <v>5.0</v>
      </c>
      <c r="BA26" s="182"/>
      <c r="BB26" s="182"/>
      <c r="BC26" s="182">
        <f t="shared" si="16"/>
        <v>0</v>
      </c>
      <c r="BD26" s="182">
        <f t="shared" si="12"/>
        <v>7</v>
      </c>
      <c r="BE26" s="182">
        <f t="shared" si="13"/>
        <v>7</v>
      </c>
      <c r="BF26" s="182">
        <f t="shared" si="14"/>
        <v>7</v>
      </c>
      <c r="BG26" s="182">
        <f t="shared" si="15"/>
        <v>19</v>
      </c>
      <c r="BH26" s="50"/>
      <c r="BI26" s="50"/>
      <c r="BJ26" s="50"/>
    </row>
    <row r="27">
      <c r="A27" s="151" t="s">
        <v>385</v>
      </c>
      <c r="B27" s="164" t="s">
        <v>18</v>
      </c>
      <c r="C27" s="170"/>
      <c r="D27" s="170"/>
      <c r="E27" s="170"/>
      <c r="F27" s="170"/>
      <c r="G27" s="170"/>
      <c r="H27" s="170"/>
      <c r="I27" s="170"/>
      <c r="J27" s="170"/>
      <c r="K27" s="171"/>
      <c r="L27" s="171"/>
      <c r="M27" s="171"/>
      <c r="N27" s="171"/>
      <c r="O27" s="171"/>
      <c r="P27" s="171"/>
      <c r="Q27" s="171"/>
      <c r="R27" s="171"/>
      <c r="S27" s="186">
        <v>94333.0</v>
      </c>
      <c r="T27" s="171"/>
      <c r="U27" s="171"/>
      <c r="V27" s="171"/>
      <c r="W27" s="171"/>
      <c r="X27" s="171"/>
      <c r="Y27" s="171"/>
      <c r="Z27" s="171"/>
      <c r="AA27" s="171"/>
      <c r="AB27" s="173" t="s">
        <v>355</v>
      </c>
      <c r="AC27" s="173" t="s">
        <v>355</v>
      </c>
      <c r="AD27" s="173" t="s">
        <v>355</v>
      </c>
      <c r="AE27" s="173" t="s">
        <v>355</v>
      </c>
      <c r="AF27" s="173" t="s">
        <v>355</v>
      </c>
      <c r="AG27" s="173" t="s">
        <v>355</v>
      </c>
      <c r="AH27" s="173" t="s">
        <v>355</v>
      </c>
      <c r="AI27" s="173" t="s">
        <v>355</v>
      </c>
      <c r="AJ27" s="173" t="s">
        <v>355</v>
      </c>
      <c r="AK27" s="173" t="s">
        <v>355</v>
      </c>
      <c r="AL27" s="173" t="s">
        <v>355</v>
      </c>
      <c r="AM27" s="173">
        <f>SUMIF('Отчет по марже'!D:D,A27,'Отчет по марже'!M:M)</f>
        <v>0</v>
      </c>
      <c r="AN27" s="147">
        <f t="shared" si="3"/>
        <v>0</v>
      </c>
      <c r="AO27" s="147">
        <f t="shared" si="4"/>
        <v>-94333</v>
      </c>
      <c r="AP27" s="174">
        <f t="shared" si="5"/>
        <v>94333</v>
      </c>
      <c r="AQ27" s="183">
        <f t="shared" si="6"/>
        <v>0</v>
      </c>
      <c r="AR27" s="183">
        <f t="shared" si="7"/>
        <v>0.002516487118</v>
      </c>
      <c r="AS27" s="190"/>
      <c r="AT27" s="177">
        <f t="shared" si="9"/>
        <v>47166.5</v>
      </c>
      <c r="AU27" s="146"/>
      <c r="AV27" s="184" t="str">
        <f t="shared" si="10"/>
        <v>#REF!</v>
      </c>
      <c r="AW27" s="178" t="s">
        <v>355</v>
      </c>
      <c r="AX27" s="50"/>
      <c r="AY27" s="180">
        <f t="shared" si="11"/>
        <v>1</v>
      </c>
      <c r="AZ27" s="180">
        <v>1.0</v>
      </c>
      <c r="BA27" s="182"/>
      <c r="BB27" s="182"/>
      <c r="BC27" s="182">
        <f t="shared" si="16"/>
        <v>0</v>
      </c>
      <c r="BD27" s="182">
        <f t="shared" si="12"/>
        <v>1</v>
      </c>
      <c r="BE27" s="182">
        <f t="shared" si="13"/>
        <v>1</v>
      </c>
      <c r="BF27" s="182">
        <f t="shared" si="14"/>
        <v>1</v>
      </c>
      <c r="BG27" s="182">
        <f t="shared" si="15"/>
        <v>13</v>
      </c>
      <c r="BH27" s="50"/>
      <c r="BI27" s="50"/>
      <c r="BJ27" s="50"/>
    </row>
    <row r="28">
      <c r="A28" s="151" t="s">
        <v>386</v>
      </c>
      <c r="B28" s="164" t="s">
        <v>18</v>
      </c>
      <c r="C28" s="170"/>
      <c r="D28" s="170"/>
      <c r="E28" s="170"/>
      <c r="F28" s="170"/>
      <c r="G28" s="170"/>
      <c r="H28" s="170"/>
      <c r="I28" s="170"/>
      <c r="J28" s="170"/>
      <c r="K28" s="171"/>
      <c r="L28" s="171"/>
      <c r="M28" s="171"/>
      <c r="N28" s="171"/>
      <c r="O28" s="171"/>
      <c r="P28" s="171"/>
      <c r="Q28" s="171"/>
      <c r="R28" s="171"/>
      <c r="S28" s="171"/>
      <c r="T28" s="186">
        <v>111667.0</v>
      </c>
      <c r="U28" s="186">
        <v>708333.0</v>
      </c>
      <c r="V28" s="186">
        <v>663333.0</v>
      </c>
      <c r="W28" s="171"/>
      <c r="X28" s="171"/>
      <c r="Y28" s="171"/>
      <c r="Z28" s="171"/>
      <c r="AA28" s="171"/>
      <c r="AB28" s="173" t="s">
        <v>355</v>
      </c>
      <c r="AC28" s="173" t="s">
        <v>355</v>
      </c>
      <c r="AD28" s="173" t="s">
        <v>355</v>
      </c>
      <c r="AE28" s="173" t="s">
        <v>355</v>
      </c>
      <c r="AF28" s="173" t="s">
        <v>355</v>
      </c>
      <c r="AG28" s="173" t="s">
        <v>355</v>
      </c>
      <c r="AH28" s="173" t="s">
        <v>355</v>
      </c>
      <c r="AI28" s="173" t="s">
        <v>355</v>
      </c>
      <c r="AJ28" s="173" t="s">
        <v>355</v>
      </c>
      <c r="AK28" s="173" t="s">
        <v>355</v>
      </c>
      <c r="AL28" s="173" t="s">
        <v>355</v>
      </c>
      <c r="AM28" s="173">
        <f>SUMIF('Отчет по марже'!D:D,A28,'Отчет по марже'!M:M)</f>
        <v>0</v>
      </c>
      <c r="AN28" s="147">
        <f t="shared" si="3"/>
        <v>0</v>
      </c>
      <c r="AO28" s="147">
        <f t="shared" si="4"/>
        <v>-1483333</v>
      </c>
      <c r="AP28" s="174">
        <f t="shared" si="5"/>
        <v>1483333</v>
      </c>
      <c r="AQ28" s="183">
        <f t="shared" si="6"/>
        <v>0</v>
      </c>
      <c r="AR28" s="183">
        <f t="shared" si="7"/>
        <v>0.03957033473</v>
      </c>
      <c r="AS28" s="190"/>
      <c r="AT28" s="177">
        <f t="shared" si="9"/>
        <v>370833.25</v>
      </c>
      <c r="AU28" s="178">
        <v>90000.0</v>
      </c>
      <c r="AV28" s="179" t="str">
        <f t="shared" si="10"/>
        <v>#REF!</v>
      </c>
      <c r="AW28" s="178" t="s">
        <v>387</v>
      </c>
      <c r="AX28" s="180">
        <v>7.0</v>
      </c>
      <c r="AY28" s="180">
        <f t="shared" si="11"/>
        <v>2</v>
      </c>
      <c r="AZ28" s="181">
        <v>9.0</v>
      </c>
      <c r="BA28" s="182"/>
      <c r="BB28" s="182"/>
      <c r="BC28" s="182">
        <f t="shared" si="16"/>
        <v>0</v>
      </c>
      <c r="BD28" s="182">
        <f t="shared" si="12"/>
        <v>3</v>
      </c>
      <c r="BE28" s="182">
        <f t="shared" si="13"/>
        <v>3</v>
      </c>
      <c r="BF28" s="182">
        <f t="shared" si="14"/>
        <v>3</v>
      </c>
      <c r="BG28" s="182">
        <f t="shared" si="15"/>
        <v>15</v>
      </c>
      <c r="BH28" s="50"/>
      <c r="BI28" s="50"/>
      <c r="BJ28" s="50"/>
    </row>
    <row r="29">
      <c r="A29" s="151" t="s">
        <v>388</v>
      </c>
      <c r="B29" s="164" t="s">
        <v>18</v>
      </c>
      <c r="C29" s="170"/>
      <c r="D29" s="170"/>
      <c r="E29" s="170"/>
      <c r="F29" s="170"/>
      <c r="G29" s="170"/>
      <c r="H29" s="170"/>
      <c r="I29" s="170"/>
      <c r="J29" s="170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86">
        <v>181250.0</v>
      </c>
      <c r="V29" s="171"/>
      <c r="W29" s="171"/>
      <c r="X29" s="171"/>
      <c r="Y29" s="171"/>
      <c r="Z29" s="171"/>
      <c r="AA29" s="171"/>
      <c r="AB29" s="173" t="s">
        <v>355</v>
      </c>
      <c r="AC29" s="173" t="s">
        <v>355</v>
      </c>
      <c r="AD29" s="173" t="s">
        <v>355</v>
      </c>
      <c r="AE29" s="173" t="s">
        <v>355</v>
      </c>
      <c r="AF29" s="173" t="s">
        <v>355</v>
      </c>
      <c r="AG29" s="173" t="s">
        <v>355</v>
      </c>
      <c r="AH29" s="173" t="s">
        <v>355</v>
      </c>
      <c r="AI29" s="173" t="s">
        <v>355</v>
      </c>
      <c r="AJ29" s="173" t="s">
        <v>355</v>
      </c>
      <c r="AK29" s="173" t="s">
        <v>355</v>
      </c>
      <c r="AL29" s="173" t="s">
        <v>355</v>
      </c>
      <c r="AM29" s="173">
        <f>SUMIF('Отчет по марже'!D:D,A29,'Отчет по марже'!M:M)</f>
        <v>0</v>
      </c>
      <c r="AN29" s="147">
        <f t="shared" si="3"/>
        <v>0</v>
      </c>
      <c r="AO29" s="147">
        <f t="shared" si="4"/>
        <v>-181250</v>
      </c>
      <c r="AP29" s="174">
        <f t="shared" si="5"/>
        <v>181250</v>
      </c>
      <c r="AQ29" s="183">
        <f t="shared" si="6"/>
        <v>0</v>
      </c>
      <c r="AR29" s="183">
        <f t="shared" si="7"/>
        <v>0.004835140303</v>
      </c>
      <c r="AS29" s="190"/>
      <c r="AT29" s="177">
        <f t="shared" si="9"/>
        <v>90625</v>
      </c>
      <c r="AU29" s="178">
        <v>193781.0</v>
      </c>
      <c r="AV29" s="179" t="str">
        <f t="shared" si="10"/>
        <v>#REF!</v>
      </c>
      <c r="AW29" s="178" t="s">
        <v>355</v>
      </c>
      <c r="AX29" s="180">
        <v>10.0</v>
      </c>
      <c r="AY29" s="180">
        <f t="shared" si="11"/>
        <v>1</v>
      </c>
      <c r="AZ29" s="181">
        <v>7.0</v>
      </c>
      <c r="BA29" s="182"/>
      <c r="BB29" s="182"/>
      <c r="BC29" s="182">
        <f t="shared" si="16"/>
        <v>0</v>
      </c>
      <c r="BD29" s="182">
        <f t="shared" si="12"/>
        <v>1</v>
      </c>
      <c r="BE29" s="182">
        <f t="shared" si="13"/>
        <v>1</v>
      </c>
      <c r="BF29" s="182">
        <f t="shared" si="14"/>
        <v>1</v>
      </c>
      <c r="BG29" s="182">
        <f t="shared" si="15"/>
        <v>13</v>
      </c>
      <c r="BH29" s="50"/>
      <c r="BI29" s="50"/>
      <c r="BJ29" s="50"/>
    </row>
    <row r="30">
      <c r="A30" s="151" t="s">
        <v>389</v>
      </c>
      <c r="B30" s="164" t="s">
        <v>18</v>
      </c>
      <c r="C30" s="170"/>
      <c r="D30" s="170"/>
      <c r="E30" s="170"/>
      <c r="F30" s="170"/>
      <c r="G30" s="170"/>
      <c r="H30" s="170"/>
      <c r="I30" s="170"/>
      <c r="J30" s="170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86">
        <v>70000.0</v>
      </c>
      <c r="W30" s="186">
        <v>140000.0</v>
      </c>
      <c r="X30" s="172">
        <v>140000.0</v>
      </c>
      <c r="Y30" s="172">
        <v>140000.0</v>
      </c>
      <c r="Z30" s="172">
        <v>140000.0</v>
      </c>
      <c r="AA30" s="171"/>
      <c r="AB30" s="173" t="s">
        <v>355</v>
      </c>
      <c r="AC30" s="173" t="s">
        <v>355</v>
      </c>
      <c r="AD30" s="173" t="s">
        <v>355</v>
      </c>
      <c r="AE30" s="173" t="s">
        <v>355</v>
      </c>
      <c r="AF30" s="173" t="s">
        <v>355</v>
      </c>
      <c r="AG30" s="173" t="s">
        <v>355</v>
      </c>
      <c r="AH30" s="173" t="s">
        <v>355</v>
      </c>
      <c r="AI30" s="173" t="s">
        <v>355</v>
      </c>
      <c r="AJ30" s="173" t="s">
        <v>355</v>
      </c>
      <c r="AK30" s="173" t="s">
        <v>355</v>
      </c>
      <c r="AL30" s="173" t="s">
        <v>355</v>
      </c>
      <c r="AM30" s="173">
        <f>SUMIF('Отчет по марже'!D:D,A30,'Отчет по марже'!M:M)</f>
        <v>0</v>
      </c>
      <c r="AN30" s="147">
        <f t="shared" si="3"/>
        <v>0</v>
      </c>
      <c r="AO30" s="147">
        <f t="shared" si="4"/>
        <v>490000</v>
      </c>
      <c r="AP30" s="174">
        <f t="shared" si="5"/>
        <v>630000</v>
      </c>
      <c r="AQ30" s="183">
        <f t="shared" si="6"/>
        <v>0</v>
      </c>
      <c r="AR30" s="183">
        <f t="shared" si="7"/>
        <v>0.01680628078</v>
      </c>
      <c r="AS30" s="190"/>
      <c r="AT30" s="177">
        <f t="shared" si="9"/>
        <v>105000</v>
      </c>
      <c r="AU30" s="146"/>
      <c r="AV30" s="184" t="str">
        <f t="shared" si="10"/>
        <v>#REF!</v>
      </c>
      <c r="AW30" s="178" t="s">
        <v>355</v>
      </c>
      <c r="AX30" s="50"/>
      <c r="AY30" s="180">
        <f t="shared" si="11"/>
        <v>0</v>
      </c>
      <c r="AZ30" s="180">
        <v>3.0</v>
      </c>
      <c r="BA30" s="182"/>
      <c r="BB30" s="182"/>
      <c r="BC30" s="182">
        <f t="shared" si="16"/>
        <v>0</v>
      </c>
      <c r="BD30" s="182">
        <f t="shared" si="12"/>
        <v>5</v>
      </c>
      <c r="BE30" s="182">
        <f t="shared" si="13"/>
        <v>5</v>
      </c>
      <c r="BF30" s="182">
        <f t="shared" si="14"/>
        <v>5</v>
      </c>
      <c r="BG30" s="182">
        <f t="shared" si="15"/>
        <v>17</v>
      </c>
      <c r="BH30" s="50"/>
      <c r="BI30" s="50"/>
      <c r="BJ30" s="50"/>
    </row>
    <row r="31">
      <c r="A31" s="151" t="s">
        <v>390</v>
      </c>
      <c r="B31" s="164" t="s">
        <v>18</v>
      </c>
      <c r="C31" s="170"/>
      <c r="D31" s="170"/>
      <c r="E31" s="170"/>
      <c r="F31" s="170"/>
      <c r="G31" s="170"/>
      <c r="H31" s="170"/>
      <c r="I31" s="170"/>
      <c r="J31" s="170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2">
        <v>150000.0</v>
      </c>
      <c r="Y31" s="172">
        <v>150000.0</v>
      </c>
      <c r="Z31" s="172">
        <v>233333.33</v>
      </c>
      <c r="AA31" s="172">
        <v>400000.0</v>
      </c>
      <c r="AB31" s="173">
        <v>400000.0</v>
      </c>
      <c r="AC31" s="173">
        <v>400000.0</v>
      </c>
      <c r="AD31" s="173">
        <v>400000.0</v>
      </c>
      <c r="AE31" s="173">
        <v>400000.0</v>
      </c>
      <c r="AF31" s="173">
        <v>308333.0</v>
      </c>
      <c r="AG31" s="173">
        <v>308333.0</v>
      </c>
      <c r="AH31" s="173" t="s">
        <v>355</v>
      </c>
      <c r="AI31" s="173" t="s">
        <v>355</v>
      </c>
      <c r="AJ31" s="173" t="s">
        <v>355</v>
      </c>
      <c r="AK31" s="173" t="s">
        <v>355</v>
      </c>
      <c r="AL31" s="173" t="s">
        <v>355</v>
      </c>
      <c r="AM31" s="173">
        <f>SUMIF('Отчет по марже'!D:D,A31,'Отчет по марже'!M:M)</f>
        <v>0</v>
      </c>
      <c r="AN31" s="147">
        <f t="shared" si="3"/>
        <v>0</v>
      </c>
      <c r="AO31" s="147">
        <f t="shared" si="4"/>
        <v>3149999.33</v>
      </c>
      <c r="AP31" s="174">
        <f t="shared" si="5"/>
        <v>3149999.33</v>
      </c>
      <c r="AQ31" s="183">
        <f t="shared" si="6"/>
        <v>0</v>
      </c>
      <c r="AR31" s="183">
        <f t="shared" si="7"/>
        <v>0.08403138601</v>
      </c>
      <c r="AS31" s="190"/>
      <c r="AT31" s="177">
        <f t="shared" si="9"/>
        <v>286363.5755</v>
      </c>
      <c r="AU31" s="146"/>
      <c r="AV31" s="184" t="str">
        <f t="shared" si="10"/>
        <v>#REF!</v>
      </c>
      <c r="AW31" s="178" t="s">
        <v>355</v>
      </c>
      <c r="AX31" s="50"/>
      <c r="AY31" s="180">
        <f t="shared" si="11"/>
        <v>0</v>
      </c>
      <c r="AZ31" s="180">
        <v>1.0</v>
      </c>
      <c r="BA31" s="182"/>
      <c r="BB31" s="182"/>
      <c r="BC31" s="182">
        <f t="shared" si="16"/>
        <v>0</v>
      </c>
      <c r="BD31" s="182">
        <f t="shared" si="12"/>
        <v>4</v>
      </c>
      <c r="BE31" s="182">
        <f t="shared" si="13"/>
        <v>4</v>
      </c>
      <c r="BF31" s="182">
        <f t="shared" si="14"/>
        <v>4</v>
      </c>
      <c r="BG31" s="182">
        <f t="shared" si="15"/>
        <v>16</v>
      </c>
      <c r="BH31" s="50"/>
      <c r="BI31" s="50"/>
      <c r="BJ31" s="50"/>
    </row>
    <row r="32">
      <c r="A32" s="151" t="s">
        <v>391</v>
      </c>
      <c r="B32" s="164" t="s">
        <v>18</v>
      </c>
      <c r="C32" s="170"/>
      <c r="D32" s="170"/>
      <c r="E32" s="170"/>
      <c r="F32" s="170"/>
      <c r="G32" s="170"/>
      <c r="H32" s="170"/>
      <c r="I32" s="170"/>
      <c r="J32" s="170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2">
        <v>70000.0</v>
      </c>
      <c r="Y32" s="172">
        <v>140000.0</v>
      </c>
      <c r="Z32" s="172">
        <v>140000.0</v>
      </c>
      <c r="AA32" s="172">
        <v>140000.0</v>
      </c>
      <c r="AB32" s="173">
        <v>140000.0</v>
      </c>
      <c r="AC32" s="173" t="s">
        <v>355</v>
      </c>
      <c r="AD32" s="173" t="s">
        <v>355</v>
      </c>
      <c r="AE32" s="173" t="s">
        <v>355</v>
      </c>
      <c r="AF32" s="173" t="s">
        <v>355</v>
      </c>
      <c r="AG32" s="173" t="s">
        <v>355</v>
      </c>
      <c r="AH32" s="173" t="s">
        <v>355</v>
      </c>
      <c r="AI32" s="173" t="s">
        <v>355</v>
      </c>
      <c r="AJ32" s="173" t="s">
        <v>355</v>
      </c>
      <c r="AK32" s="173" t="s">
        <v>355</v>
      </c>
      <c r="AL32" s="173" t="s">
        <v>355</v>
      </c>
      <c r="AM32" s="173">
        <f>SUMIF('Отчет по марже'!D:D,A32,'Отчет по марже'!M:M)</f>
        <v>0</v>
      </c>
      <c r="AN32" s="147">
        <f t="shared" si="3"/>
        <v>0</v>
      </c>
      <c r="AO32" s="147">
        <f t="shared" si="4"/>
        <v>630000</v>
      </c>
      <c r="AP32" s="174"/>
      <c r="AQ32" s="183"/>
      <c r="AR32" s="183"/>
      <c r="AS32" s="190"/>
      <c r="AT32" s="177"/>
      <c r="AU32" s="146"/>
      <c r="AV32" s="184"/>
      <c r="AW32" s="178"/>
      <c r="AX32" s="50"/>
      <c r="AY32" s="180"/>
      <c r="AZ32" s="180"/>
      <c r="BA32" s="182"/>
      <c r="BB32" s="182"/>
      <c r="BC32" s="182"/>
      <c r="BD32" s="182"/>
      <c r="BE32" s="182"/>
      <c r="BF32" s="182"/>
      <c r="BG32" s="182"/>
      <c r="BH32" s="50"/>
      <c r="BI32" s="50"/>
      <c r="BJ32" s="50"/>
    </row>
    <row r="33">
      <c r="A33" s="151" t="s">
        <v>392</v>
      </c>
      <c r="B33" s="164" t="s">
        <v>18</v>
      </c>
      <c r="C33" s="170"/>
      <c r="D33" s="170"/>
      <c r="E33" s="170"/>
      <c r="F33" s="170"/>
      <c r="G33" s="170"/>
      <c r="H33" s="170"/>
      <c r="I33" s="170"/>
      <c r="J33" s="170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2">
        <v>139166.67</v>
      </c>
      <c r="Z33" s="171"/>
      <c r="AA33" s="171"/>
      <c r="AB33" s="173" t="s">
        <v>355</v>
      </c>
      <c r="AC33" s="173" t="s">
        <v>355</v>
      </c>
      <c r="AD33" s="173" t="s">
        <v>355</v>
      </c>
      <c r="AE33" s="173" t="s">
        <v>355</v>
      </c>
      <c r="AF33" s="173" t="s">
        <v>355</v>
      </c>
      <c r="AG33" s="173" t="s">
        <v>355</v>
      </c>
      <c r="AH33" s="173" t="s">
        <v>355</v>
      </c>
      <c r="AI33" s="173" t="s">
        <v>355</v>
      </c>
      <c r="AJ33" s="173" t="s">
        <v>355</v>
      </c>
      <c r="AK33" s="173" t="s">
        <v>355</v>
      </c>
      <c r="AL33" s="173" t="s">
        <v>355</v>
      </c>
      <c r="AM33" s="173">
        <f>SUMIF('Отчет по марже'!D:D,A33,'Отчет по марже'!M:M)</f>
        <v>0</v>
      </c>
      <c r="AN33" s="147">
        <f t="shared" si="3"/>
        <v>0</v>
      </c>
      <c r="AO33" s="147">
        <f t="shared" si="4"/>
        <v>139166.67</v>
      </c>
      <c r="AP33" s="174">
        <f t="shared" ref="AP33:AP64" si="17">SUM(C33:AM33)</f>
        <v>139166.67</v>
      </c>
      <c r="AQ33" s="183">
        <f t="shared" ref="AQ33:AQ64" si="18">AM33/$AM$65</f>
        <v>0</v>
      </c>
      <c r="AR33" s="183">
        <f t="shared" ref="AR33:AR64" si="19">AP33/$AP$65</f>
        <v>0.00371249862</v>
      </c>
      <c r="AS33" s="190"/>
      <c r="AT33" s="177">
        <f t="shared" ref="AT33:AT64" si="20">AVERAGE(C33:AM33)</f>
        <v>69583.335</v>
      </c>
      <c r="AU33" s="146"/>
      <c r="AV33" s="184" t="str">
        <f t="shared" ref="AV33:AV53" si="21">#REF!-#REF!</f>
        <v>#REF!</v>
      </c>
      <c r="AW33" s="178" t="s">
        <v>355</v>
      </c>
      <c r="AX33" s="50"/>
      <c r="AY33" s="180">
        <f t="shared" ref="AY33:AY34" si="22">COUNTIF(B33:U33,"&gt;0")</f>
        <v>0</v>
      </c>
      <c r="AZ33" s="180">
        <v>1.0</v>
      </c>
      <c r="BA33" s="182"/>
      <c r="BB33" s="182"/>
      <c r="BC33" s="182">
        <f t="shared" ref="BC33:BC34" si="23">COUNTA(F33:Q33)</f>
        <v>0</v>
      </c>
      <c r="BD33" s="182">
        <f t="shared" ref="BD33:BD34" si="24">COUNTA($F33:AA33)</f>
        <v>1</v>
      </c>
      <c r="BE33" s="182">
        <f t="shared" ref="BE33:BE34" si="25">COUNTA(F33:AA33)</f>
        <v>1</v>
      </c>
      <c r="BF33" s="182">
        <f t="shared" ref="BF33:BF34" si="26">COUNTA($F33:AA33)</f>
        <v>1</v>
      </c>
      <c r="BG33" s="182">
        <f t="shared" ref="BG33:BG34" si="27">COUNTA($F33:AM33)</f>
        <v>13</v>
      </c>
      <c r="BH33" s="50"/>
      <c r="BI33" s="50"/>
      <c r="BJ33" s="50"/>
    </row>
    <row r="34">
      <c r="A34" s="151" t="s">
        <v>393</v>
      </c>
      <c r="B34" s="164" t="s">
        <v>18</v>
      </c>
      <c r="C34" s="170"/>
      <c r="D34" s="170"/>
      <c r="E34" s="170"/>
      <c r="F34" s="170"/>
      <c r="G34" s="170"/>
      <c r="H34" s="170"/>
      <c r="I34" s="170"/>
      <c r="J34" s="170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2">
        <v>62500.0</v>
      </c>
      <c r="Z34" s="171"/>
      <c r="AA34" s="171"/>
      <c r="AB34" s="173" t="s">
        <v>355</v>
      </c>
      <c r="AC34" s="173" t="s">
        <v>355</v>
      </c>
      <c r="AD34" s="173" t="s">
        <v>355</v>
      </c>
      <c r="AE34" s="173" t="s">
        <v>355</v>
      </c>
      <c r="AF34" s="173" t="s">
        <v>355</v>
      </c>
      <c r="AG34" s="173" t="s">
        <v>355</v>
      </c>
      <c r="AH34" s="173" t="s">
        <v>355</v>
      </c>
      <c r="AI34" s="173" t="s">
        <v>355</v>
      </c>
      <c r="AJ34" s="173" t="s">
        <v>355</v>
      </c>
      <c r="AK34" s="173" t="s">
        <v>355</v>
      </c>
      <c r="AL34" s="173" t="s">
        <v>355</v>
      </c>
      <c r="AM34" s="173">
        <f>SUMIF('Отчет по марже'!D:D,A34,'Отчет по марже'!M:M)</f>
        <v>0</v>
      </c>
      <c r="AN34" s="147">
        <f t="shared" si="3"/>
        <v>0</v>
      </c>
      <c r="AO34" s="147">
        <f t="shared" si="4"/>
        <v>62500</v>
      </c>
      <c r="AP34" s="174">
        <f t="shared" si="17"/>
        <v>62500</v>
      </c>
      <c r="AQ34" s="183">
        <f t="shared" si="18"/>
        <v>0</v>
      </c>
      <c r="AR34" s="183">
        <f t="shared" si="19"/>
        <v>0.00166728976</v>
      </c>
      <c r="AS34" s="190"/>
      <c r="AT34" s="177">
        <f t="shared" si="20"/>
        <v>31250</v>
      </c>
      <c r="AU34" s="146"/>
      <c r="AV34" s="184" t="str">
        <f t="shared" si="21"/>
        <v>#REF!</v>
      </c>
      <c r="AW34" s="178" t="s">
        <v>355</v>
      </c>
      <c r="AX34" s="50"/>
      <c r="AY34" s="180">
        <f t="shared" si="22"/>
        <v>0</v>
      </c>
      <c r="AZ34" s="180">
        <v>2.0</v>
      </c>
      <c r="BA34" s="182"/>
      <c r="BB34" s="182"/>
      <c r="BC34" s="182">
        <f t="shared" si="23"/>
        <v>0</v>
      </c>
      <c r="BD34" s="182">
        <f t="shared" si="24"/>
        <v>1</v>
      </c>
      <c r="BE34" s="182">
        <f t="shared" si="25"/>
        <v>1</v>
      </c>
      <c r="BF34" s="182">
        <f t="shared" si="26"/>
        <v>1</v>
      </c>
      <c r="BG34" s="182">
        <f t="shared" si="27"/>
        <v>13</v>
      </c>
      <c r="BH34" s="50"/>
      <c r="BI34" s="50"/>
      <c r="BJ34" s="50"/>
    </row>
    <row r="35">
      <c r="A35" s="192" t="s">
        <v>394</v>
      </c>
      <c r="B35" s="164" t="s">
        <v>18</v>
      </c>
      <c r="C35" s="188"/>
      <c r="D35" s="188"/>
      <c r="E35" s="188"/>
      <c r="F35" s="188"/>
      <c r="G35" s="188"/>
      <c r="H35" s="188"/>
      <c r="I35" s="188"/>
      <c r="J35" s="188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73"/>
      <c r="AC35" s="173">
        <v>391408.0</v>
      </c>
      <c r="AD35" s="173">
        <v>417528.0</v>
      </c>
      <c r="AE35" s="173">
        <v>414756.0</v>
      </c>
      <c r="AF35" s="173">
        <v>357400.0</v>
      </c>
      <c r="AG35" s="173">
        <v>389425.0</v>
      </c>
      <c r="AH35" s="173">
        <v>355024.0</v>
      </c>
      <c r="AI35" s="173">
        <v>282839.0</v>
      </c>
      <c r="AJ35" s="173">
        <v>293555.0</v>
      </c>
      <c r="AK35" s="173">
        <v>261588.0</v>
      </c>
      <c r="AL35" s="173">
        <v>199887.0</v>
      </c>
      <c r="AM35" s="173">
        <f>SUMIF('Отчет по марже'!D:D,A35,'Отчет по марже'!M:M)</f>
        <v>0</v>
      </c>
      <c r="AN35" s="147">
        <f t="shared" si="3"/>
        <v>0</v>
      </c>
      <c r="AO35" s="147">
        <f t="shared" si="4"/>
        <v>3363410</v>
      </c>
      <c r="AP35" s="174">
        <f t="shared" si="17"/>
        <v>3363410</v>
      </c>
      <c r="AQ35" s="183">
        <f t="shared" si="18"/>
        <v>0</v>
      </c>
      <c r="AR35" s="183">
        <f t="shared" si="19"/>
        <v>0.0897244648</v>
      </c>
      <c r="AS35" s="190"/>
      <c r="AT35" s="177">
        <f t="shared" si="20"/>
        <v>305764.5455</v>
      </c>
      <c r="AU35" s="146"/>
      <c r="AV35" s="184" t="str">
        <f t="shared" si="21"/>
        <v>#REF!</v>
      </c>
      <c r="AW35" s="178" t="s">
        <v>355</v>
      </c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</row>
    <row r="36">
      <c r="A36" s="193" t="s">
        <v>395</v>
      </c>
      <c r="B36" s="164" t="s">
        <v>18</v>
      </c>
      <c r="C36" s="188"/>
      <c r="D36" s="188"/>
      <c r="E36" s="188"/>
      <c r="F36" s="188"/>
      <c r="G36" s="188"/>
      <c r="H36" s="188"/>
      <c r="I36" s="188"/>
      <c r="J36" s="188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73"/>
      <c r="AC36" s="173">
        <v>138691.0</v>
      </c>
      <c r="AD36" s="173" t="s">
        <v>355</v>
      </c>
      <c r="AE36" s="173" t="s">
        <v>355</v>
      </c>
      <c r="AF36" s="173" t="s">
        <v>355</v>
      </c>
      <c r="AG36" s="173" t="s">
        <v>355</v>
      </c>
      <c r="AH36" s="173" t="s">
        <v>355</v>
      </c>
      <c r="AI36" s="173" t="s">
        <v>355</v>
      </c>
      <c r="AJ36" s="173" t="s">
        <v>355</v>
      </c>
      <c r="AK36" s="173" t="s">
        <v>355</v>
      </c>
      <c r="AL36" s="173" t="s">
        <v>355</v>
      </c>
      <c r="AM36" s="173">
        <f>SUMIF('Отчет по марже'!D:D,A36,'Отчет по марже'!M:M)</f>
        <v>0</v>
      </c>
      <c r="AN36" s="147">
        <f t="shared" si="3"/>
        <v>0</v>
      </c>
      <c r="AO36" s="147">
        <f t="shared" si="4"/>
        <v>138691</v>
      </c>
      <c r="AP36" s="174">
        <f t="shared" si="17"/>
        <v>138691</v>
      </c>
      <c r="AQ36" s="183">
        <f t="shared" si="18"/>
        <v>0</v>
      </c>
      <c r="AR36" s="183">
        <f t="shared" si="19"/>
        <v>0.003699809345</v>
      </c>
      <c r="AS36" s="190"/>
      <c r="AT36" s="177">
        <f t="shared" si="20"/>
        <v>69345.5</v>
      </c>
      <c r="AU36" s="146"/>
      <c r="AV36" s="184" t="str">
        <f t="shared" si="21"/>
        <v>#REF!</v>
      </c>
      <c r="AW36" s="178" t="s">
        <v>355</v>
      </c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</row>
    <row r="37">
      <c r="A37" s="194" t="s">
        <v>396</v>
      </c>
      <c r="B37" s="164" t="s">
        <v>18</v>
      </c>
      <c r="C37" s="188"/>
      <c r="D37" s="188"/>
      <c r="E37" s="188"/>
      <c r="F37" s="188"/>
      <c r="G37" s="188"/>
      <c r="H37" s="188"/>
      <c r="I37" s="188"/>
      <c r="J37" s="188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73"/>
      <c r="AC37" s="173">
        <v>45600.0</v>
      </c>
      <c r="AD37" s="173" t="s">
        <v>355</v>
      </c>
      <c r="AE37" s="173" t="s">
        <v>355</v>
      </c>
      <c r="AF37" s="173" t="s">
        <v>355</v>
      </c>
      <c r="AG37" s="173" t="s">
        <v>355</v>
      </c>
      <c r="AH37" s="173" t="s">
        <v>355</v>
      </c>
      <c r="AI37" s="173" t="s">
        <v>355</v>
      </c>
      <c r="AJ37" s="173" t="s">
        <v>355</v>
      </c>
      <c r="AK37" s="173" t="s">
        <v>355</v>
      </c>
      <c r="AL37" s="173" t="s">
        <v>355</v>
      </c>
      <c r="AM37" s="173">
        <f>SUMIF('Отчет по марже'!D:D,A37,'Отчет по марже'!M:M)</f>
        <v>0</v>
      </c>
      <c r="AN37" s="147">
        <f t="shared" si="3"/>
        <v>0</v>
      </c>
      <c r="AO37" s="147">
        <f t="shared" si="4"/>
        <v>45600</v>
      </c>
      <c r="AP37" s="174">
        <f t="shared" si="17"/>
        <v>45600</v>
      </c>
      <c r="AQ37" s="183">
        <f t="shared" si="18"/>
        <v>0</v>
      </c>
      <c r="AR37" s="183">
        <f t="shared" si="19"/>
        <v>0.001216454609</v>
      </c>
      <c r="AS37" s="190"/>
      <c r="AT37" s="177">
        <f t="shared" si="20"/>
        <v>22800</v>
      </c>
      <c r="AU37" s="146"/>
      <c r="AV37" s="184" t="str">
        <f t="shared" si="21"/>
        <v>#REF!</v>
      </c>
      <c r="AW37" s="178" t="s">
        <v>355</v>
      </c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</row>
    <row r="38">
      <c r="A38" s="192" t="s">
        <v>28</v>
      </c>
      <c r="B38" s="164" t="s">
        <v>18</v>
      </c>
      <c r="C38" s="188"/>
      <c r="D38" s="188"/>
      <c r="E38" s="188"/>
      <c r="F38" s="188"/>
      <c r="G38" s="188"/>
      <c r="H38" s="188"/>
      <c r="I38" s="188"/>
      <c r="J38" s="188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73"/>
      <c r="AC38" s="173">
        <v>62185.0</v>
      </c>
      <c r="AD38" s="173">
        <v>75088.0</v>
      </c>
      <c r="AE38" s="173">
        <v>78306.0</v>
      </c>
      <c r="AF38" s="173">
        <v>71197.0</v>
      </c>
      <c r="AG38" s="173">
        <v>87148.0</v>
      </c>
      <c r="AH38" s="173">
        <v>103235.0</v>
      </c>
      <c r="AI38" s="173">
        <v>104827.0</v>
      </c>
      <c r="AJ38" s="173">
        <v>122542.0</v>
      </c>
      <c r="AK38" s="173">
        <v>133461.0</v>
      </c>
      <c r="AL38" s="173">
        <v>128651.0</v>
      </c>
      <c r="AM38" s="173">
        <f>SUMIF('Отчет по марже'!D:D,A38,'Отчет по марже'!M:M)</f>
        <v>113719.93</v>
      </c>
      <c r="AN38" s="147">
        <f t="shared" si="3"/>
        <v>113719.93</v>
      </c>
      <c r="AO38" s="147">
        <f t="shared" si="4"/>
        <v>1080359.93</v>
      </c>
      <c r="AP38" s="174">
        <f t="shared" si="17"/>
        <v>1080359.93</v>
      </c>
      <c r="AQ38" s="183">
        <f t="shared" si="18"/>
        <v>0.07286393947</v>
      </c>
      <c r="AR38" s="183">
        <f t="shared" si="19"/>
        <v>0.02882036877</v>
      </c>
      <c r="AS38" s="190"/>
      <c r="AT38" s="177">
        <f t="shared" si="20"/>
        <v>98214.53909</v>
      </c>
      <c r="AU38" s="146"/>
      <c r="AV38" s="184" t="str">
        <f t="shared" si="21"/>
        <v>#REF!</v>
      </c>
      <c r="AW38" s="178" t="s">
        <v>355</v>
      </c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</row>
    <row r="39">
      <c r="A39" s="192" t="s">
        <v>397</v>
      </c>
      <c r="B39" s="164" t="s">
        <v>18</v>
      </c>
      <c r="C39" s="188"/>
      <c r="D39" s="188"/>
      <c r="E39" s="188"/>
      <c r="F39" s="188"/>
      <c r="G39" s="188"/>
      <c r="H39" s="188"/>
      <c r="I39" s="188"/>
      <c r="J39" s="188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73"/>
      <c r="AC39" s="173">
        <v>86158.0</v>
      </c>
      <c r="AD39" s="173" t="s">
        <v>355</v>
      </c>
      <c r="AE39" s="173" t="s">
        <v>355</v>
      </c>
      <c r="AF39" s="173" t="s">
        <v>355</v>
      </c>
      <c r="AG39" s="173" t="s">
        <v>355</v>
      </c>
      <c r="AH39" s="173" t="s">
        <v>355</v>
      </c>
      <c r="AI39" s="173" t="s">
        <v>355</v>
      </c>
      <c r="AJ39" s="173" t="s">
        <v>355</v>
      </c>
      <c r="AK39" s="173" t="s">
        <v>355</v>
      </c>
      <c r="AL39" s="173" t="s">
        <v>355</v>
      </c>
      <c r="AM39" s="173">
        <f>SUMIF('Отчет по марже'!D:D,A39,'Отчет по марже'!M:M)</f>
        <v>0</v>
      </c>
      <c r="AN39" s="147">
        <f t="shared" si="3"/>
        <v>0</v>
      </c>
      <c r="AO39" s="147">
        <f t="shared" si="4"/>
        <v>86158</v>
      </c>
      <c r="AP39" s="174">
        <f t="shared" si="17"/>
        <v>86158</v>
      </c>
      <c r="AQ39" s="183">
        <f t="shared" si="18"/>
        <v>0</v>
      </c>
      <c r="AR39" s="183">
        <f t="shared" si="19"/>
        <v>0.002298405618</v>
      </c>
      <c r="AS39" s="190"/>
      <c r="AT39" s="177">
        <f t="shared" si="20"/>
        <v>43079</v>
      </c>
      <c r="AU39" s="146"/>
      <c r="AV39" s="184" t="str">
        <f t="shared" si="21"/>
        <v>#REF!</v>
      </c>
      <c r="AW39" s="178" t="s">
        <v>355</v>
      </c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</row>
    <row r="40">
      <c r="A40" s="192" t="s">
        <v>398</v>
      </c>
      <c r="B40" s="164" t="s">
        <v>18</v>
      </c>
      <c r="C40" s="188"/>
      <c r="D40" s="188"/>
      <c r="E40" s="188"/>
      <c r="F40" s="188"/>
      <c r="G40" s="188"/>
      <c r="H40" s="188"/>
      <c r="I40" s="188"/>
      <c r="J40" s="188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73"/>
      <c r="AC40" s="173">
        <v>234707.0</v>
      </c>
      <c r="AD40" s="173" t="s">
        <v>355</v>
      </c>
      <c r="AE40" s="173" t="s">
        <v>355</v>
      </c>
      <c r="AF40" s="173" t="s">
        <v>355</v>
      </c>
      <c r="AG40" s="173" t="s">
        <v>355</v>
      </c>
      <c r="AH40" s="173" t="s">
        <v>355</v>
      </c>
      <c r="AI40" s="173" t="s">
        <v>355</v>
      </c>
      <c r="AJ40" s="173" t="s">
        <v>355</v>
      </c>
      <c r="AK40" s="173" t="s">
        <v>355</v>
      </c>
      <c r="AL40" s="173" t="s">
        <v>355</v>
      </c>
      <c r="AM40" s="173">
        <f>SUMIF('Отчет по марже'!D:D,A40,'Отчет по марже'!M:M)</f>
        <v>0</v>
      </c>
      <c r="AN40" s="147">
        <f t="shared" si="3"/>
        <v>0</v>
      </c>
      <c r="AO40" s="147">
        <f t="shared" si="4"/>
        <v>234707</v>
      </c>
      <c r="AP40" s="174">
        <f t="shared" si="17"/>
        <v>234707</v>
      </c>
      <c r="AQ40" s="183">
        <f t="shared" si="18"/>
        <v>0</v>
      </c>
      <c r="AR40" s="183">
        <f t="shared" si="19"/>
        <v>0.006261193241</v>
      </c>
      <c r="AS40" s="190"/>
      <c r="AT40" s="177">
        <f t="shared" si="20"/>
        <v>117353.5</v>
      </c>
      <c r="AU40" s="146"/>
      <c r="AV40" s="184" t="str">
        <f t="shared" si="21"/>
        <v>#REF!</v>
      </c>
      <c r="AW40" s="178" t="s">
        <v>355</v>
      </c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</row>
    <row r="41">
      <c r="A41" s="192" t="s">
        <v>399</v>
      </c>
      <c r="B41" s="164" t="s">
        <v>18</v>
      </c>
      <c r="C41" s="188"/>
      <c r="D41" s="188"/>
      <c r="E41" s="188"/>
      <c r="F41" s="188"/>
      <c r="G41" s="188"/>
      <c r="H41" s="188"/>
      <c r="I41" s="188"/>
      <c r="J41" s="188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73"/>
      <c r="AC41" s="173">
        <v>48000.0</v>
      </c>
      <c r="AD41" s="173">
        <v>48000.0</v>
      </c>
      <c r="AE41" s="173">
        <v>48000.0</v>
      </c>
      <c r="AF41" s="173">
        <v>40500.0</v>
      </c>
      <c r="AG41" s="173">
        <v>40500.0</v>
      </c>
      <c r="AH41" s="173">
        <v>40500.0</v>
      </c>
      <c r="AI41" s="173">
        <v>40500.0</v>
      </c>
      <c r="AJ41" s="173" t="s">
        <v>355</v>
      </c>
      <c r="AK41" s="173" t="s">
        <v>355</v>
      </c>
      <c r="AL41" s="173" t="s">
        <v>355</v>
      </c>
      <c r="AM41" s="173">
        <f>SUMIF('Отчет по марже'!D:D,A41,'Отчет по марже'!M:M)</f>
        <v>0</v>
      </c>
      <c r="AN41" s="147">
        <f t="shared" si="3"/>
        <v>0</v>
      </c>
      <c r="AO41" s="147">
        <f t="shared" si="4"/>
        <v>306000</v>
      </c>
      <c r="AP41" s="174">
        <f t="shared" si="17"/>
        <v>306000</v>
      </c>
      <c r="AQ41" s="183">
        <f t="shared" si="18"/>
        <v>0</v>
      </c>
      <c r="AR41" s="183">
        <f t="shared" si="19"/>
        <v>0.008163050663</v>
      </c>
      <c r="AS41" s="190"/>
      <c r="AT41" s="177">
        <f t="shared" si="20"/>
        <v>38250</v>
      </c>
      <c r="AU41" s="146"/>
      <c r="AV41" s="184" t="str">
        <f t="shared" si="21"/>
        <v>#REF!</v>
      </c>
      <c r="AW41" s="178" t="s">
        <v>355</v>
      </c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</row>
    <row r="42">
      <c r="A42" s="192" t="s">
        <v>400</v>
      </c>
      <c r="B42" s="164" t="s">
        <v>18</v>
      </c>
      <c r="C42" s="188"/>
      <c r="D42" s="188"/>
      <c r="E42" s="188"/>
      <c r="F42" s="188"/>
      <c r="G42" s="188"/>
      <c r="H42" s="188"/>
      <c r="I42" s="188"/>
      <c r="J42" s="188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73"/>
      <c r="AC42" s="173">
        <v>40500.0</v>
      </c>
      <c r="AD42" s="173">
        <v>40500.0</v>
      </c>
      <c r="AE42" s="173">
        <v>40500.0</v>
      </c>
      <c r="AF42" s="173">
        <v>48000.0</v>
      </c>
      <c r="AG42" s="173">
        <v>48000.0</v>
      </c>
      <c r="AH42" s="173">
        <v>48000.0</v>
      </c>
      <c r="AI42" s="173">
        <v>48000.0</v>
      </c>
      <c r="AJ42" s="173" t="s">
        <v>355</v>
      </c>
      <c r="AK42" s="173" t="s">
        <v>355</v>
      </c>
      <c r="AL42" s="173" t="s">
        <v>355</v>
      </c>
      <c r="AM42" s="173">
        <f>SUMIF('Отчет по марже'!D:D,A42,'Отчет по марже'!M:M)</f>
        <v>0</v>
      </c>
      <c r="AN42" s="147">
        <f t="shared" si="3"/>
        <v>0</v>
      </c>
      <c r="AO42" s="147">
        <f t="shared" si="4"/>
        <v>313500</v>
      </c>
      <c r="AP42" s="174">
        <f t="shared" si="17"/>
        <v>313500</v>
      </c>
      <c r="AQ42" s="183">
        <f t="shared" si="18"/>
        <v>0</v>
      </c>
      <c r="AR42" s="183">
        <f t="shared" si="19"/>
        <v>0.008363125434</v>
      </c>
      <c r="AS42" s="190"/>
      <c r="AT42" s="177">
        <f t="shared" si="20"/>
        <v>39187.5</v>
      </c>
      <c r="AU42" s="146"/>
      <c r="AV42" s="184" t="str">
        <f t="shared" si="21"/>
        <v>#REF!</v>
      </c>
      <c r="AW42" s="178" t="s">
        <v>355</v>
      </c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</row>
    <row r="43">
      <c r="A43" s="192" t="s">
        <v>401</v>
      </c>
      <c r="B43" s="164" t="s">
        <v>18</v>
      </c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73" t="s">
        <v>355</v>
      </c>
      <c r="AC43" s="173">
        <v>62628.0</v>
      </c>
      <c r="AD43" s="173">
        <v>67083.0</v>
      </c>
      <c r="AE43" s="173" t="s">
        <v>355</v>
      </c>
      <c r="AF43" s="173" t="s">
        <v>355</v>
      </c>
      <c r="AG43" s="173" t="s">
        <v>355</v>
      </c>
      <c r="AH43" s="173" t="s">
        <v>355</v>
      </c>
      <c r="AI43" s="173" t="s">
        <v>355</v>
      </c>
      <c r="AJ43" s="173" t="s">
        <v>355</v>
      </c>
      <c r="AK43" s="173" t="s">
        <v>355</v>
      </c>
      <c r="AL43" s="173" t="s">
        <v>355</v>
      </c>
      <c r="AM43" s="173">
        <f>SUMIF('Отчет по марже'!D:D,A43,'Отчет по марже'!M:M)</f>
        <v>0</v>
      </c>
      <c r="AN43" s="147">
        <f t="shared" si="3"/>
        <v>0</v>
      </c>
      <c r="AO43" s="147">
        <f t="shared" si="4"/>
        <v>129711</v>
      </c>
      <c r="AP43" s="174">
        <f t="shared" si="17"/>
        <v>129711</v>
      </c>
      <c r="AQ43" s="183">
        <f t="shared" si="18"/>
        <v>0</v>
      </c>
      <c r="AR43" s="183">
        <f t="shared" si="19"/>
        <v>0.003460253152</v>
      </c>
      <c r="AS43" s="190"/>
      <c r="AT43" s="177">
        <f t="shared" si="20"/>
        <v>43237</v>
      </c>
      <c r="AU43" s="146"/>
      <c r="AV43" s="184" t="str">
        <f t="shared" si="21"/>
        <v>#REF!</v>
      </c>
      <c r="AW43" s="178" t="s">
        <v>355</v>
      </c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</row>
    <row r="44">
      <c r="A44" s="192" t="s">
        <v>19</v>
      </c>
      <c r="B44" s="164" t="s">
        <v>18</v>
      </c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73"/>
      <c r="AC44" s="173">
        <v>113993.0</v>
      </c>
      <c r="AD44" s="173">
        <v>106315.0</v>
      </c>
      <c r="AE44" s="173">
        <v>105395.0</v>
      </c>
      <c r="AF44" s="173">
        <v>101132.0</v>
      </c>
      <c r="AG44" s="173">
        <v>98761.0</v>
      </c>
      <c r="AH44" s="173">
        <v>108765.0</v>
      </c>
      <c r="AI44" s="173">
        <v>106631.0</v>
      </c>
      <c r="AJ44" s="173">
        <v>121812.0</v>
      </c>
      <c r="AK44" s="173">
        <v>131346.0</v>
      </c>
      <c r="AL44" s="173">
        <v>165208.0</v>
      </c>
      <c r="AM44" s="173">
        <f>SUMIF('Отчет по марже'!D:D,A44,'Отчет по марже'!M:M)</f>
        <v>139264.64</v>
      </c>
      <c r="AN44" s="147">
        <f t="shared" si="3"/>
        <v>139264.64</v>
      </c>
      <c r="AO44" s="147">
        <f t="shared" si="4"/>
        <v>1298622.64</v>
      </c>
      <c r="AP44" s="174">
        <f t="shared" si="17"/>
        <v>1298622.64</v>
      </c>
      <c r="AQ44" s="183">
        <f t="shared" si="18"/>
        <v>0.08923123941</v>
      </c>
      <c r="AR44" s="183">
        <f t="shared" si="19"/>
        <v>0.03464288367</v>
      </c>
      <c r="AS44" s="190"/>
      <c r="AT44" s="177">
        <f t="shared" si="20"/>
        <v>118056.6036</v>
      </c>
      <c r="AU44" s="146"/>
      <c r="AV44" s="184" t="str">
        <f t="shared" si="21"/>
        <v>#REF!</v>
      </c>
      <c r="AW44" s="178" t="s">
        <v>355</v>
      </c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</row>
    <row r="45">
      <c r="A45" s="192" t="s">
        <v>402</v>
      </c>
      <c r="B45" s="164" t="s">
        <v>18</v>
      </c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73"/>
      <c r="AC45" s="173">
        <v>125000.0</v>
      </c>
      <c r="AD45" s="173">
        <v>125000.0</v>
      </c>
      <c r="AE45" s="173">
        <v>125000.0</v>
      </c>
      <c r="AF45" s="173">
        <v>125000.0</v>
      </c>
      <c r="AG45" s="173">
        <v>125000.0</v>
      </c>
      <c r="AH45" s="173" t="s">
        <v>355</v>
      </c>
      <c r="AI45" s="173" t="s">
        <v>355</v>
      </c>
      <c r="AJ45" s="173" t="s">
        <v>355</v>
      </c>
      <c r="AK45" s="173" t="s">
        <v>355</v>
      </c>
      <c r="AL45" s="173" t="s">
        <v>355</v>
      </c>
      <c r="AM45" s="173">
        <f>SUMIF('Отчет по марже'!D:D,A45,'Отчет по марже'!M:M)</f>
        <v>0</v>
      </c>
      <c r="AN45" s="147">
        <f t="shared" si="3"/>
        <v>0</v>
      </c>
      <c r="AO45" s="147">
        <f t="shared" si="4"/>
        <v>625000</v>
      </c>
      <c r="AP45" s="174">
        <f t="shared" si="17"/>
        <v>625000</v>
      </c>
      <c r="AQ45" s="183">
        <f t="shared" si="18"/>
        <v>0</v>
      </c>
      <c r="AR45" s="183">
        <f t="shared" si="19"/>
        <v>0.0166728976</v>
      </c>
      <c r="AS45" s="190"/>
      <c r="AT45" s="177">
        <f t="shared" si="20"/>
        <v>104166.6667</v>
      </c>
      <c r="AU45" s="146"/>
      <c r="AV45" s="184" t="str">
        <f t="shared" si="21"/>
        <v>#REF!</v>
      </c>
      <c r="AW45" s="178" t="s">
        <v>355</v>
      </c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</row>
    <row r="46">
      <c r="A46" s="193" t="s">
        <v>25</v>
      </c>
      <c r="B46" s="164" t="s">
        <v>18</v>
      </c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73"/>
      <c r="AC46" s="173">
        <v>180000.0</v>
      </c>
      <c r="AD46" s="173">
        <v>180000.0</v>
      </c>
      <c r="AE46" s="173">
        <v>180000.0</v>
      </c>
      <c r="AF46" s="173">
        <v>180000.0</v>
      </c>
      <c r="AG46" s="173">
        <v>300000.0</v>
      </c>
      <c r="AH46" s="173">
        <v>300000.0</v>
      </c>
      <c r="AI46" s="173">
        <v>300000.0</v>
      </c>
      <c r="AJ46" s="173">
        <v>300000.0</v>
      </c>
      <c r="AK46" s="173">
        <v>355333.0</v>
      </c>
      <c r="AL46" s="173">
        <v>300000.0</v>
      </c>
      <c r="AM46" s="173">
        <f>SUMIF('Отчет по марже'!D:D,A46,'Отчет по марже'!M:M)</f>
        <v>300000</v>
      </c>
      <c r="AN46" s="147">
        <f t="shared" si="3"/>
        <v>300000</v>
      </c>
      <c r="AO46" s="147">
        <f t="shared" si="4"/>
        <v>2875333</v>
      </c>
      <c r="AP46" s="174">
        <f t="shared" si="17"/>
        <v>2875333</v>
      </c>
      <c r="AQ46" s="183">
        <f t="shared" si="18"/>
        <v>0.1922194451</v>
      </c>
      <c r="AR46" s="183">
        <f t="shared" si="19"/>
        <v>0.07670421226</v>
      </c>
      <c r="AS46" s="190"/>
      <c r="AT46" s="177">
        <f t="shared" si="20"/>
        <v>261393.9091</v>
      </c>
      <c r="AU46" s="146"/>
      <c r="AV46" s="184" t="str">
        <f t="shared" si="21"/>
        <v>#REF!</v>
      </c>
      <c r="AW46" s="178" t="s">
        <v>355</v>
      </c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</row>
    <row r="47">
      <c r="A47" s="193" t="s">
        <v>403</v>
      </c>
      <c r="B47" s="164" t="s">
        <v>18</v>
      </c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73"/>
      <c r="AC47" s="173">
        <v>149167.0</v>
      </c>
      <c r="AD47" s="173" t="s">
        <v>355</v>
      </c>
      <c r="AE47" s="173" t="s">
        <v>355</v>
      </c>
      <c r="AF47" s="173" t="s">
        <v>355</v>
      </c>
      <c r="AG47" s="173" t="s">
        <v>355</v>
      </c>
      <c r="AH47" s="173" t="s">
        <v>355</v>
      </c>
      <c r="AI47" s="173" t="s">
        <v>355</v>
      </c>
      <c r="AJ47" s="173" t="s">
        <v>355</v>
      </c>
      <c r="AK47" s="173" t="s">
        <v>355</v>
      </c>
      <c r="AL47" s="173" t="s">
        <v>355</v>
      </c>
      <c r="AM47" s="173">
        <f>SUMIF('Отчет по марже'!D:D,A47,'Отчет по марже'!M:M)</f>
        <v>0</v>
      </c>
      <c r="AN47" s="147">
        <f t="shared" si="3"/>
        <v>0</v>
      </c>
      <c r="AO47" s="147">
        <f t="shared" si="4"/>
        <v>149167</v>
      </c>
      <c r="AP47" s="174">
        <f t="shared" si="17"/>
        <v>149167</v>
      </c>
      <c r="AQ47" s="183">
        <f t="shared" si="18"/>
        <v>0</v>
      </c>
      <c r="AR47" s="183">
        <f t="shared" si="19"/>
        <v>0.003979273785</v>
      </c>
      <c r="AS47" s="190"/>
      <c r="AT47" s="177">
        <f t="shared" si="20"/>
        <v>74583.5</v>
      </c>
      <c r="AU47" s="146"/>
      <c r="AV47" s="184" t="str">
        <f t="shared" si="21"/>
        <v>#REF!</v>
      </c>
      <c r="AW47" s="178" t="s">
        <v>355</v>
      </c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</row>
    <row r="48">
      <c r="A48" s="193" t="s">
        <v>404</v>
      </c>
      <c r="B48" s="164" t="s">
        <v>18</v>
      </c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73"/>
      <c r="AC48" s="173"/>
      <c r="AD48" s="173">
        <v>18056.0</v>
      </c>
      <c r="AE48" s="173">
        <v>67117.0</v>
      </c>
      <c r="AF48" s="173">
        <v>81612.0</v>
      </c>
      <c r="AG48" s="173" t="s">
        <v>355</v>
      </c>
      <c r="AH48" s="173">
        <v>1667.0</v>
      </c>
      <c r="AI48" s="173" t="s">
        <v>355</v>
      </c>
      <c r="AJ48" s="173" t="s">
        <v>355</v>
      </c>
      <c r="AK48" s="173" t="s">
        <v>355</v>
      </c>
      <c r="AL48" s="173" t="s">
        <v>355</v>
      </c>
      <c r="AM48" s="173">
        <f>SUMIF('Отчет по марже'!D:D,A48,'Отчет по марже'!M:M)</f>
        <v>0</v>
      </c>
      <c r="AN48" s="147">
        <f t="shared" si="3"/>
        <v>0</v>
      </c>
      <c r="AO48" s="147">
        <f t="shared" si="4"/>
        <v>168452</v>
      </c>
      <c r="AP48" s="174">
        <f t="shared" si="17"/>
        <v>168452</v>
      </c>
      <c r="AQ48" s="183">
        <f t="shared" si="18"/>
        <v>0</v>
      </c>
      <c r="AR48" s="183">
        <f t="shared" si="19"/>
        <v>0.004493732713</v>
      </c>
      <c r="AS48" s="190"/>
      <c r="AT48" s="177">
        <f t="shared" si="20"/>
        <v>33690.4</v>
      </c>
      <c r="AU48" s="146"/>
      <c r="AV48" s="184" t="str">
        <f t="shared" si="21"/>
        <v>#REF!</v>
      </c>
      <c r="AW48" s="178" t="s">
        <v>355</v>
      </c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</row>
    <row r="49">
      <c r="A49" s="193" t="s">
        <v>405</v>
      </c>
      <c r="B49" s="164" t="s">
        <v>18</v>
      </c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73"/>
      <c r="AC49" s="173"/>
      <c r="AD49" s="173">
        <v>250000.0</v>
      </c>
      <c r="AE49" s="173">
        <v>149194.0</v>
      </c>
      <c r="AF49" s="173" t="s">
        <v>355</v>
      </c>
      <c r="AG49" s="173" t="s">
        <v>355</v>
      </c>
      <c r="AH49" s="173" t="s">
        <v>355</v>
      </c>
      <c r="AI49" s="173" t="s">
        <v>355</v>
      </c>
      <c r="AJ49" s="173" t="s">
        <v>355</v>
      </c>
      <c r="AK49" s="173" t="s">
        <v>355</v>
      </c>
      <c r="AL49" s="173" t="s">
        <v>355</v>
      </c>
      <c r="AM49" s="173">
        <f>SUMIF('Отчет по марже'!D:D,A49,'Отчет по марже'!M:M)</f>
        <v>0</v>
      </c>
      <c r="AN49" s="147">
        <f t="shared" si="3"/>
        <v>0</v>
      </c>
      <c r="AO49" s="147">
        <f t="shared" si="4"/>
        <v>399194</v>
      </c>
      <c r="AP49" s="174">
        <f t="shared" si="17"/>
        <v>399194</v>
      </c>
      <c r="AQ49" s="183">
        <f t="shared" si="18"/>
        <v>0</v>
      </c>
      <c r="AR49" s="183">
        <f t="shared" si="19"/>
        <v>0.01064915309</v>
      </c>
      <c r="AS49" s="190"/>
      <c r="AT49" s="177">
        <f t="shared" si="20"/>
        <v>133064.6667</v>
      </c>
      <c r="AU49" s="146"/>
      <c r="AV49" s="184" t="str">
        <f t="shared" si="21"/>
        <v>#REF!</v>
      </c>
      <c r="AW49" s="178" t="s">
        <v>355</v>
      </c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</row>
    <row r="50">
      <c r="A50" s="193" t="s">
        <v>406</v>
      </c>
      <c r="B50" s="164" t="s">
        <v>18</v>
      </c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73"/>
      <c r="AC50" s="173"/>
      <c r="AD50" s="173">
        <v>88251.0</v>
      </c>
      <c r="AE50" s="173">
        <v>88628.0</v>
      </c>
      <c r="AF50" s="173">
        <v>86398.0</v>
      </c>
      <c r="AG50" s="173">
        <v>106735.0</v>
      </c>
      <c r="AH50" s="173" t="s">
        <v>355</v>
      </c>
      <c r="AI50" s="173" t="s">
        <v>355</v>
      </c>
      <c r="AJ50" s="173" t="s">
        <v>355</v>
      </c>
      <c r="AK50" s="173" t="s">
        <v>355</v>
      </c>
      <c r="AL50" s="173" t="s">
        <v>355</v>
      </c>
      <c r="AM50" s="173">
        <f>SUMIF('Отчет по марже'!D:D,A50,'Отчет по марже'!M:M)</f>
        <v>0</v>
      </c>
      <c r="AN50" s="147">
        <f t="shared" si="3"/>
        <v>0</v>
      </c>
      <c r="AO50" s="147">
        <f t="shared" si="4"/>
        <v>370012</v>
      </c>
      <c r="AP50" s="174">
        <f t="shared" si="17"/>
        <v>370012</v>
      </c>
      <c r="AQ50" s="183">
        <f t="shared" si="18"/>
        <v>0</v>
      </c>
      <c r="AR50" s="183">
        <f t="shared" si="19"/>
        <v>0.009870675496</v>
      </c>
      <c r="AS50" s="190"/>
      <c r="AT50" s="177">
        <f t="shared" si="20"/>
        <v>74002.4</v>
      </c>
      <c r="AU50" s="146"/>
      <c r="AV50" s="184" t="str">
        <f t="shared" si="21"/>
        <v>#REF!</v>
      </c>
      <c r="AW50" s="178" t="s">
        <v>355</v>
      </c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</row>
    <row r="51">
      <c r="A51" s="193" t="s">
        <v>31</v>
      </c>
      <c r="B51" s="164" t="s">
        <v>18</v>
      </c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73"/>
      <c r="AC51" s="173"/>
      <c r="AD51" s="173">
        <v>215000.0</v>
      </c>
      <c r="AE51" s="173">
        <v>220748.0</v>
      </c>
      <c r="AF51" s="173">
        <v>235098.0</v>
      </c>
      <c r="AG51" s="173">
        <v>268413.0</v>
      </c>
      <c r="AH51" s="173">
        <v>248585.0</v>
      </c>
      <c r="AI51" s="173">
        <v>247269.0</v>
      </c>
      <c r="AJ51" s="173">
        <v>308017.0</v>
      </c>
      <c r="AK51" s="173">
        <v>284427.0</v>
      </c>
      <c r="AL51" s="173">
        <v>316962.0</v>
      </c>
      <c r="AM51" s="173">
        <f>SUMIF('Отчет по марже'!D:D,A51,'Отчет по марже'!M:M)</f>
        <v>247382.79</v>
      </c>
      <c r="AN51" s="147">
        <f t="shared" si="3"/>
        <v>247382.79</v>
      </c>
      <c r="AO51" s="147">
        <f t="shared" si="4"/>
        <v>2591901.79</v>
      </c>
      <c r="AP51" s="174">
        <f t="shared" si="17"/>
        <v>2591901.79</v>
      </c>
      <c r="AQ51" s="183">
        <f t="shared" si="18"/>
        <v>0.1585059421</v>
      </c>
      <c r="AR51" s="183">
        <f t="shared" si="19"/>
        <v>0.06914322099</v>
      </c>
      <c r="AS51" s="190"/>
      <c r="AT51" s="177">
        <f t="shared" si="20"/>
        <v>259190.179</v>
      </c>
      <c r="AU51" s="146"/>
      <c r="AV51" s="184" t="str">
        <f t="shared" si="21"/>
        <v>#REF!</v>
      </c>
      <c r="AW51" s="178" t="s">
        <v>355</v>
      </c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</row>
    <row r="52">
      <c r="A52" s="193" t="s">
        <v>407</v>
      </c>
      <c r="B52" s="164" t="s">
        <v>18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73"/>
      <c r="AC52" s="173"/>
      <c r="AD52" s="173">
        <v>125000.0</v>
      </c>
      <c r="AE52" s="173">
        <v>79247.0</v>
      </c>
      <c r="AF52" s="173">
        <v>-1687.0</v>
      </c>
      <c r="AG52" s="173" t="s">
        <v>355</v>
      </c>
      <c r="AH52" s="173" t="s">
        <v>355</v>
      </c>
      <c r="AI52" s="173" t="s">
        <v>355</v>
      </c>
      <c r="AJ52" s="173" t="s">
        <v>355</v>
      </c>
      <c r="AK52" s="173" t="s">
        <v>355</v>
      </c>
      <c r="AL52" s="173" t="s">
        <v>355</v>
      </c>
      <c r="AM52" s="173">
        <f>SUMIF('Отчет по марже'!D:D,A52,'Отчет по марже'!M:M)</f>
        <v>0</v>
      </c>
      <c r="AN52" s="147">
        <f t="shared" si="3"/>
        <v>0</v>
      </c>
      <c r="AO52" s="147">
        <f t="shared" si="4"/>
        <v>202560</v>
      </c>
      <c r="AP52" s="174">
        <f t="shared" si="17"/>
        <v>202560</v>
      </c>
      <c r="AQ52" s="183">
        <f t="shared" si="18"/>
        <v>0</v>
      </c>
      <c r="AR52" s="183">
        <f t="shared" si="19"/>
        <v>0.005403619419</v>
      </c>
      <c r="AS52" s="190"/>
      <c r="AT52" s="177">
        <f t="shared" si="20"/>
        <v>50640</v>
      </c>
      <c r="AU52" s="146"/>
      <c r="AV52" s="184" t="str">
        <f t="shared" si="21"/>
        <v>#REF!</v>
      </c>
      <c r="AW52" s="178" t="s">
        <v>355</v>
      </c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</row>
    <row r="53">
      <c r="A53" s="193" t="s">
        <v>408</v>
      </c>
      <c r="B53" s="164" t="s">
        <v>18</v>
      </c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73"/>
      <c r="AC53" s="173"/>
      <c r="AD53" s="173"/>
      <c r="AE53" s="173">
        <v>91550.0</v>
      </c>
      <c r="AF53" s="173" t="s">
        <v>355</v>
      </c>
      <c r="AG53" s="173" t="s">
        <v>355</v>
      </c>
      <c r="AH53" s="173" t="s">
        <v>355</v>
      </c>
      <c r="AI53" s="173" t="s">
        <v>355</v>
      </c>
      <c r="AJ53" s="173" t="s">
        <v>355</v>
      </c>
      <c r="AK53" s="173" t="s">
        <v>355</v>
      </c>
      <c r="AL53" s="173" t="s">
        <v>355</v>
      </c>
      <c r="AM53" s="173">
        <f>SUMIF('Отчет по марже'!D:D,A53,'Отчет по марже'!M:M)</f>
        <v>0</v>
      </c>
      <c r="AN53" s="147">
        <f t="shared" si="3"/>
        <v>0</v>
      </c>
      <c r="AO53" s="147">
        <f t="shared" si="4"/>
        <v>91550</v>
      </c>
      <c r="AP53" s="174">
        <f t="shared" si="17"/>
        <v>91550</v>
      </c>
      <c r="AQ53" s="183">
        <f t="shared" si="18"/>
        <v>0</v>
      </c>
      <c r="AR53" s="183">
        <f t="shared" si="19"/>
        <v>0.00244224604</v>
      </c>
      <c r="AS53" s="190"/>
      <c r="AT53" s="177">
        <f t="shared" si="20"/>
        <v>45775</v>
      </c>
      <c r="AU53" s="146"/>
      <c r="AV53" s="184" t="str">
        <f t="shared" si="21"/>
        <v>#REF!</v>
      </c>
      <c r="AW53" s="178" t="s">
        <v>355</v>
      </c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</row>
    <row r="54">
      <c r="A54" s="193" t="s">
        <v>409</v>
      </c>
      <c r="B54" s="164" t="s">
        <v>18</v>
      </c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73"/>
      <c r="AC54" s="173"/>
      <c r="AD54" s="173"/>
      <c r="AE54" s="173"/>
      <c r="AF54" s="173">
        <v>20000.0</v>
      </c>
      <c r="AG54" s="173">
        <v>75000.0</v>
      </c>
      <c r="AH54" s="173" t="s">
        <v>355</v>
      </c>
      <c r="AI54" s="173" t="s">
        <v>355</v>
      </c>
      <c r="AJ54" s="173" t="s">
        <v>355</v>
      </c>
      <c r="AK54" s="173" t="s">
        <v>355</v>
      </c>
      <c r="AL54" s="173" t="s">
        <v>355</v>
      </c>
      <c r="AM54" s="173">
        <f>SUMIF('Отчет по марже'!D:D,A54,'Отчет по марже'!M:M)</f>
        <v>0</v>
      </c>
      <c r="AN54" s="147">
        <f t="shared" si="3"/>
        <v>0</v>
      </c>
      <c r="AO54" s="147">
        <f t="shared" si="4"/>
        <v>95000</v>
      </c>
      <c r="AP54" s="174">
        <f t="shared" si="17"/>
        <v>95000</v>
      </c>
      <c r="AQ54" s="183">
        <f t="shared" si="18"/>
        <v>0</v>
      </c>
      <c r="AR54" s="183">
        <f t="shared" si="19"/>
        <v>0.002534280434</v>
      </c>
      <c r="AS54" s="190"/>
      <c r="AT54" s="177">
        <f t="shared" si="20"/>
        <v>31666.66667</v>
      </c>
      <c r="AU54" s="146"/>
      <c r="AV54" s="184"/>
      <c r="AW54" s="178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</row>
    <row r="55">
      <c r="A55" s="193" t="s">
        <v>34</v>
      </c>
      <c r="B55" s="164" t="s">
        <v>18</v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73"/>
      <c r="AC55" s="173"/>
      <c r="AD55" s="173"/>
      <c r="AE55" s="173"/>
      <c r="AF55" s="173"/>
      <c r="AG55" s="173">
        <v>66667.0</v>
      </c>
      <c r="AH55" s="173" t="s">
        <v>355</v>
      </c>
      <c r="AI55" s="173">
        <v>91667.0</v>
      </c>
      <c r="AJ55" s="173">
        <v>217741.0</v>
      </c>
      <c r="AK55" s="173">
        <v>230862.0</v>
      </c>
      <c r="AL55" s="173">
        <v>248603.0</v>
      </c>
      <c r="AM55" s="173">
        <f>SUMIF('Отчет по марже'!D:D,A55,'Отчет по марже'!M:M)</f>
        <v>309556.56</v>
      </c>
      <c r="AN55" s="147">
        <f t="shared" si="3"/>
        <v>309556.56</v>
      </c>
      <c r="AO55" s="147">
        <f t="shared" si="4"/>
        <v>1165096.56</v>
      </c>
      <c r="AP55" s="174">
        <f t="shared" si="17"/>
        <v>1165096.56</v>
      </c>
      <c r="AQ55" s="183">
        <f t="shared" si="18"/>
        <v>0.198342634</v>
      </c>
      <c r="AR55" s="183">
        <f t="shared" si="19"/>
        <v>0.03108085701</v>
      </c>
      <c r="AS55" s="190"/>
      <c r="AT55" s="177">
        <f t="shared" si="20"/>
        <v>194182.76</v>
      </c>
      <c r="AU55" s="146"/>
      <c r="AV55" s="184"/>
      <c r="AW55" s="178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</row>
    <row r="56">
      <c r="A56" s="193" t="s">
        <v>410</v>
      </c>
      <c r="B56" s="164" t="s">
        <v>18</v>
      </c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73"/>
      <c r="AC56" s="173"/>
      <c r="AD56" s="173"/>
      <c r="AE56" s="173"/>
      <c r="AF56" s="173"/>
      <c r="AG56" s="173">
        <v>275000.0</v>
      </c>
      <c r="AH56" s="173">
        <v>203722.0</v>
      </c>
      <c r="AI56" s="173" t="s">
        <v>355</v>
      </c>
      <c r="AJ56" s="173" t="s">
        <v>355</v>
      </c>
      <c r="AK56" s="173" t="s">
        <v>355</v>
      </c>
      <c r="AL56" s="173" t="s">
        <v>355</v>
      </c>
      <c r="AM56" s="173">
        <f>SUMIF('Отчет по марже'!D:D,A56,'Отчет по марже'!M:M)</f>
        <v>0</v>
      </c>
      <c r="AN56" s="147">
        <f t="shared" si="3"/>
        <v>0</v>
      </c>
      <c r="AO56" s="147">
        <f t="shared" si="4"/>
        <v>478722</v>
      </c>
      <c r="AP56" s="174">
        <f t="shared" si="17"/>
        <v>478722</v>
      </c>
      <c r="AQ56" s="183">
        <f t="shared" si="18"/>
        <v>0</v>
      </c>
      <c r="AR56" s="183">
        <f t="shared" si="19"/>
        <v>0.01277069261</v>
      </c>
      <c r="AS56" s="190"/>
      <c r="AT56" s="177">
        <f t="shared" si="20"/>
        <v>159574</v>
      </c>
      <c r="AU56" s="146"/>
      <c r="AV56" s="184"/>
      <c r="AW56" s="178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</row>
    <row r="57">
      <c r="A57" s="193" t="s">
        <v>411</v>
      </c>
      <c r="B57" s="164" t="s">
        <v>18</v>
      </c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73"/>
      <c r="AC57" s="173"/>
      <c r="AD57" s="173"/>
      <c r="AE57" s="173"/>
      <c r="AF57" s="173"/>
      <c r="AG57" s="173">
        <v>25000.0</v>
      </c>
      <c r="AH57" s="173" t="s">
        <v>355</v>
      </c>
      <c r="AI57" s="173" t="s">
        <v>355</v>
      </c>
      <c r="AJ57" s="173" t="s">
        <v>355</v>
      </c>
      <c r="AK57" s="173" t="s">
        <v>355</v>
      </c>
      <c r="AL57" s="173" t="s">
        <v>355</v>
      </c>
      <c r="AM57" s="173">
        <f>SUMIF('Отчет по марже'!D:D,A57,'Отчет по марже'!M:M)</f>
        <v>0</v>
      </c>
      <c r="AN57" s="147">
        <f t="shared" si="3"/>
        <v>0</v>
      </c>
      <c r="AO57" s="147">
        <f t="shared" si="4"/>
        <v>25000</v>
      </c>
      <c r="AP57" s="174">
        <f t="shared" si="17"/>
        <v>25000</v>
      </c>
      <c r="AQ57" s="183">
        <f t="shared" si="18"/>
        <v>0</v>
      </c>
      <c r="AR57" s="183">
        <f t="shared" si="19"/>
        <v>0.0006669159038</v>
      </c>
      <c r="AS57" s="190"/>
      <c r="AT57" s="177">
        <f t="shared" si="20"/>
        <v>12500</v>
      </c>
      <c r="AU57" s="146"/>
      <c r="AV57" s="184"/>
      <c r="AW57" s="178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</row>
    <row r="58">
      <c r="A58" s="193" t="s">
        <v>412</v>
      </c>
      <c r="B58" s="164" t="s">
        <v>18</v>
      </c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73"/>
      <c r="AC58" s="173"/>
      <c r="AD58" s="173"/>
      <c r="AE58" s="173"/>
      <c r="AF58" s="173"/>
      <c r="AG58" s="173">
        <v>75000.0</v>
      </c>
      <c r="AH58" s="173" t="s">
        <v>355</v>
      </c>
      <c r="AI58" s="173" t="s">
        <v>355</v>
      </c>
      <c r="AJ58" s="173" t="s">
        <v>355</v>
      </c>
      <c r="AK58" s="173" t="s">
        <v>355</v>
      </c>
      <c r="AL58" s="173" t="s">
        <v>355</v>
      </c>
      <c r="AM58" s="173">
        <f>SUMIF('Отчет по марже'!D:D,A58,'Отчет по марже'!M:M)</f>
        <v>0</v>
      </c>
      <c r="AN58" s="147">
        <f t="shared" si="3"/>
        <v>0</v>
      </c>
      <c r="AO58" s="147">
        <f t="shared" si="4"/>
        <v>75000</v>
      </c>
      <c r="AP58" s="174">
        <f t="shared" si="17"/>
        <v>75000</v>
      </c>
      <c r="AQ58" s="183">
        <f t="shared" si="18"/>
        <v>0</v>
      </c>
      <c r="AR58" s="183">
        <f t="shared" si="19"/>
        <v>0.002000747711</v>
      </c>
      <c r="AS58" s="190"/>
      <c r="AT58" s="177">
        <f t="shared" si="20"/>
        <v>37500</v>
      </c>
      <c r="AU58" s="146"/>
      <c r="AV58" s="184"/>
      <c r="AW58" s="178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</row>
    <row r="59">
      <c r="A59" s="193" t="s">
        <v>413</v>
      </c>
      <c r="B59" s="164" t="s">
        <v>18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73"/>
      <c r="AC59" s="173"/>
      <c r="AD59" s="173"/>
      <c r="AE59" s="173"/>
      <c r="AF59" s="173"/>
      <c r="AG59" s="173"/>
      <c r="AH59" s="173"/>
      <c r="AI59" s="173">
        <v>56451.0</v>
      </c>
      <c r="AJ59" s="173">
        <v>75000.0</v>
      </c>
      <c r="AK59" s="173" t="s">
        <v>355</v>
      </c>
      <c r="AL59" s="173">
        <v>93051.0</v>
      </c>
      <c r="AM59" s="173">
        <f>SUMIF('Отчет по марже'!D:D,A59,'Отчет по марже'!M:M)</f>
        <v>100084.58</v>
      </c>
      <c r="AN59" s="147">
        <f t="shared" si="3"/>
        <v>100084.58</v>
      </c>
      <c r="AO59" s="147">
        <f t="shared" si="4"/>
        <v>324586.58</v>
      </c>
      <c r="AP59" s="174">
        <f t="shared" si="17"/>
        <v>324586.58</v>
      </c>
      <c r="AQ59" s="183">
        <f t="shared" si="18"/>
        <v>0.06412734144</v>
      </c>
      <c r="AR59" s="183">
        <f t="shared" si="19"/>
        <v>0.008658878095</v>
      </c>
      <c r="AS59" s="190"/>
      <c r="AT59" s="177">
        <f t="shared" si="20"/>
        <v>81146.645</v>
      </c>
      <c r="AU59" s="146"/>
      <c r="AV59" s="184"/>
      <c r="AW59" s="178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</row>
    <row r="60">
      <c r="A60" s="193" t="s">
        <v>414</v>
      </c>
      <c r="B60" s="164" t="s">
        <v>18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73"/>
      <c r="AC60" s="173"/>
      <c r="AD60" s="173"/>
      <c r="AE60" s="173"/>
      <c r="AF60" s="173"/>
      <c r="AG60" s="173"/>
      <c r="AH60" s="173"/>
      <c r="AI60" s="173"/>
      <c r="AJ60" s="173">
        <v>75000.0</v>
      </c>
      <c r="AK60" s="173">
        <v>90258.0</v>
      </c>
      <c r="AL60" s="173" t="s">
        <v>355</v>
      </c>
      <c r="AM60" s="173">
        <f>SUMIF('Отчет по марже'!D:D,A60,'Отчет по марже'!M:M)</f>
        <v>0</v>
      </c>
      <c r="AN60" s="147">
        <f t="shared" si="3"/>
        <v>0</v>
      </c>
      <c r="AO60" s="147">
        <f t="shared" si="4"/>
        <v>165258</v>
      </c>
      <c r="AP60" s="174">
        <f t="shared" si="17"/>
        <v>165258</v>
      </c>
      <c r="AQ60" s="183">
        <f t="shared" si="18"/>
        <v>0</v>
      </c>
      <c r="AR60" s="183">
        <f t="shared" si="19"/>
        <v>0.004408527537</v>
      </c>
      <c r="AS60" s="190"/>
      <c r="AT60" s="177">
        <f t="shared" si="20"/>
        <v>55086</v>
      </c>
      <c r="AU60" s="146"/>
      <c r="AV60" s="184"/>
      <c r="AW60" s="178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</row>
    <row r="61">
      <c r="A61" s="193" t="s">
        <v>35</v>
      </c>
      <c r="B61" s="164" t="s">
        <v>18</v>
      </c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73"/>
      <c r="AC61" s="173"/>
      <c r="AD61" s="173"/>
      <c r="AE61" s="173"/>
      <c r="AF61" s="173"/>
      <c r="AG61" s="173"/>
      <c r="AH61" s="173"/>
      <c r="AI61" s="173"/>
      <c r="AJ61" s="173">
        <v>97102.0</v>
      </c>
      <c r="AK61" s="173">
        <v>70833.0</v>
      </c>
      <c r="AL61" s="173">
        <v>70833.0</v>
      </c>
      <c r="AM61" s="173">
        <f>SUMIF('Отчет по марже'!D:D,A61,'Отчет по марже'!M:M)</f>
        <v>97274.36</v>
      </c>
      <c r="AN61" s="147">
        <f t="shared" si="3"/>
        <v>97274.36</v>
      </c>
      <c r="AO61" s="147">
        <f t="shared" si="4"/>
        <v>336042.36</v>
      </c>
      <c r="AP61" s="174">
        <f t="shared" si="17"/>
        <v>336042.36</v>
      </c>
      <c r="AQ61" s="183">
        <f t="shared" si="18"/>
        <v>0.06232674501</v>
      </c>
      <c r="AR61" s="183">
        <f t="shared" si="19"/>
        <v>0.00896447977</v>
      </c>
      <c r="AS61" s="190"/>
      <c r="AT61" s="177">
        <f t="shared" si="20"/>
        <v>84010.59</v>
      </c>
      <c r="AU61" s="146"/>
      <c r="AV61" s="184"/>
      <c r="AW61" s="178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</row>
    <row r="62">
      <c r="A62" s="193" t="s">
        <v>36</v>
      </c>
      <c r="B62" s="164" t="s">
        <v>18</v>
      </c>
      <c r="C62" s="186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73"/>
      <c r="AC62" s="173"/>
      <c r="AD62" s="173"/>
      <c r="AE62" s="173"/>
      <c r="AF62" s="173"/>
      <c r="AG62" s="173"/>
      <c r="AH62" s="173"/>
      <c r="AI62" s="173"/>
      <c r="AJ62" s="173">
        <v>12097.0</v>
      </c>
      <c r="AK62" s="173">
        <v>153833.0</v>
      </c>
      <c r="AL62" s="173">
        <v>153833.0</v>
      </c>
      <c r="AM62" s="173">
        <f>SUMIF('Отчет по марже'!D:D,A62,'Отчет по марже'!M:M)</f>
        <v>153833.33</v>
      </c>
      <c r="AN62" s="147">
        <f t="shared" si="3"/>
        <v>153833.33</v>
      </c>
      <c r="AO62" s="147">
        <f t="shared" si="4"/>
        <v>473596.33</v>
      </c>
      <c r="AP62" s="174">
        <f t="shared" si="17"/>
        <v>473596.33</v>
      </c>
      <c r="AQ62" s="183">
        <f t="shared" si="18"/>
        <v>0.09856585777</v>
      </c>
      <c r="AR62" s="183">
        <f t="shared" si="19"/>
        <v>0.01263395698</v>
      </c>
      <c r="AS62" s="190"/>
      <c r="AT62" s="177">
        <f t="shared" si="20"/>
        <v>118399.0825</v>
      </c>
      <c r="AU62" s="146"/>
      <c r="AV62" s="184"/>
      <c r="AW62" s="178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</row>
    <row r="63">
      <c r="A63" s="193" t="s">
        <v>39</v>
      </c>
      <c r="B63" s="164"/>
      <c r="C63" s="186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  <c r="AL63" s="173">
        <v>107600.0</v>
      </c>
      <c r="AM63" s="173">
        <f>SUMIF('Отчет по марже'!D:D,A63,'Отчет по марже'!M:M)</f>
        <v>99600</v>
      </c>
      <c r="AN63" s="147">
        <f t="shared" si="3"/>
        <v>99600</v>
      </c>
      <c r="AO63" s="147">
        <f t="shared" si="4"/>
        <v>207200</v>
      </c>
      <c r="AP63" s="174">
        <f t="shared" si="17"/>
        <v>207200</v>
      </c>
      <c r="AQ63" s="183">
        <f t="shared" si="18"/>
        <v>0.06381685577</v>
      </c>
      <c r="AR63" s="183">
        <f t="shared" si="19"/>
        <v>0.005527399011</v>
      </c>
      <c r="AS63" s="190"/>
      <c r="AT63" s="177">
        <f t="shared" si="20"/>
        <v>103600</v>
      </c>
      <c r="AU63" s="146"/>
      <c r="AV63" s="184"/>
      <c r="AW63" s="178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</row>
    <row r="64">
      <c r="A64" s="193"/>
      <c r="B64" s="164"/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73" t="s">
        <v>355</v>
      </c>
      <c r="AC64" s="173" t="s">
        <v>355</v>
      </c>
      <c r="AD64" s="173" t="s">
        <v>355</v>
      </c>
      <c r="AE64" s="173" t="s">
        <v>355</v>
      </c>
      <c r="AF64" s="173" t="s">
        <v>355</v>
      </c>
      <c r="AG64" s="173" t="s">
        <v>355</v>
      </c>
      <c r="AH64" s="173" t="s">
        <v>355</v>
      </c>
      <c r="AI64" s="173" t="s">
        <v>355</v>
      </c>
      <c r="AJ64" s="173" t="s">
        <v>355</v>
      </c>
      <c r="AK64" s="173" t="s">
        <v>355</v>
      </c>
      <c r="AL64" s="173" t="s">
        <v>355</v>
      </c>
      <c r="AM64" s="173">
        <f>SUMIF('Отчет по марже'!D:D,A64,'Отчет по марже'!M:M)</f>
        <v>0</v>
      </c>
      <c r="AN64" s="147">
        <f t="shared" si="3"/>
        <v>0</v>
      </c>
      <c r="AO64" s="147">
        <f t="shared" si="4"/>
        <v>0</v>
      </c>
      <c r="AP64" s="174">
        <f t="shared" si="17"/>
        <v>0</v>
      </c>
      <c r="AQ64" s="183">
        <f t="shared" si="18"/>
        <v>0</v>
      </c>
      <c r="AR64" s="183">
        <f t="shared" si="19"/>
        <v>0</v>
      </c>
      <c r="AS64" s="190"/>
      <c r="AT64" s="177">
        <f t="shared" si="20"/>
        <v>0</v>
      </c>
      <c r="AU64" s="146"/>
      <c r="AV64" s="184" t="str">
        <f>#REF!-#REF!</f>
        <v>#REF!</v>
      </c>
      <c r="AW64" s="178" t="s">
        <v>355</v>
      </c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</row>
    <row r="65">
      <c r="A65" s="163" t="s">
        <v>40</v>
      </c>
      <c r="B65" s="164"/>
      <c r="C65" s="186">
        <f t="shared" ref="C65:N65" si="28">SUM(C5:C34)</f>
        <v>42000</v>
      </c>
      <c r="D65" s="186">
        <f t="shared" si="28"/>
        <v>50000</v>
      </c>
      <c r="E65" s="186">
        <f t="shared" si="28"/>
        <v>50000</v>
      </c>
      <c r="F65" s="186">
        <f t="shared" si="28"/>
        <v>100000</v>
      </c>
      <c r="G65" s="186">
        <f t="shared" si="28"/>
        <v>132500</v>
      </c>
      <c r="H65" s="186">
        <f t="shared" si="28"/>
        <v>86302</v>
      </c>
      <c r="I65" s="186">
        <f t="shared" si="28"/>
        <v>50000</v>
      </c>
      <c r="J65" s="186">
        <f t="shared" si="28"/>
        <v>183001</v>
      </c>
      <c r="K65" s="186">
        <f t="shared" si="28"/>
        <v>261614</v>
      </c>
      <c r="L65" s="186">
        <f t="shared" si="28"/>
        <v>364739</v>
      </c>
      <c r="M65" s="186">
        <f t="shared" si="28"/>
        <v>672867</v>
      </c>
      <c r="N65" s="186">
        <f t="shared" si="28"/>
        <v>623541</v>
      </c>
      <c r="O65" s="195">
        <f t="shared" ref="O65:AA65" si="29">SUM(O5:O64)</f>
        <v>734805.48</v>
      </c>
      <c r="P65" s="195">
        <f t="shared" si="29"/>
        <v>440000</v>
      </c>
      <c r="Q65" s="195">
        <f t="shared" si="29"/>
        <v>503328.49</v>
      </c>
      <c r="R65" s="195">
        <f t="shared" si="29"/>
        <v>696689.54</v>
      </c>
      <c r="S65" s="195">
        <f t="shared" si="29"/>
        <v>1132055.94</v>
      </c>
      <c r="T65" s="195">
        <f t="shared" si="29"/>
        <v>682120.66</v>
      </c>
      <c r="U65" s="195">
        <f t="shared" si="29"/>
        <v>1448919.41</v>
      </c>
      <c r="V65" s="195">
        <f t="shared" si="29"/>
        <v>1742499.67</v>
      </c>
      <c r="W65" s="195">
        <f t="shared" si="29"/>
        <v>1078333.67</v>
      </c>
      <c r="X65" s="195">
        <f t="shared" si="29"/>
        <v>1366075.67</v>
      </c>
      <c r="Y65" s="195">
        <f t="shared" si="29"/>
        <v>1628213.93</v>
      </c>
      <c r="Z65" s="195">
        <f t="shared" si="29"/>
        <v>1370000</v>
      </c>
      <c r="AA65" s="195">
        <f t="shared" si="29"/>
        <v>1175000</v>
      </c>
      <c r="AB65" s="195">
        <v>1239285.0</v>
      </c>
      <c r="AC65" s="195">
        <v>2078036.0</v>
      </c>
      <c r="AD65" s="195">
        <v>2155821.0</v>
      </c>
      <c r="AE65" s="195">
        <v>2088439.0</v>
      </c>
      <c r="AF65" s="195">
        <v>1652984.0</v>
      </c>
      <c r="AG65" s="195">
        <v>2288982.0</v>
      </c>
      <c r="AH65" s="195">
        <v>1409498.0</v>
      </c>
      <c r="AI65" s="195">
        <v>1278182.0</v>
      </c>
      <c r="AJ65" s="195">
        <v>1622865.0</v>
      </c>
      <c r="AK65" s="195">
        <v>1711942.0</v>
      </c>
      <c r="AL65" s="195">
        <v>1784629.0</v>
      </c>
      <c r="AM65" s="195">
        <f>SUM(AM5:AM64)</f>
        <v>1560716.19</v>
      </c>
      <c r="AN65" s="147"/>
      <c r="AO65" s="147"/>
      <c r="AP65" s="179">
        <f t="shared" ref="AP65:AP67" si="33">SUM(C65:AO65)</f>
        <v>37485985.65</v>
      </c>
      <c r="AQ65" s="196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>
        <f t="shared" ref="BC65:BG65" si="30">COUNTIF(BC5:BC34,"&gt;0")</f>
        <v>12</v>
      </c>
      <c r="BD65" s="50">
        <f t="shared" si="30"/>
        <v>29</v>
      </c>
      <c r="BE65" s="50">
        <f t="shared" si="30"/>
        <v>29</v>
      </c>
      <c r="BF65" s="50">
        <f t="shared" si="30"/>
        <v>29</v>
      </c>
      <c r="BG65" s="50">
        <f t="shared" si="30"/>
        <v>29</v>
      </c>
      <c r="BH65" s="50"/>
      <c r="BI65" s="50"/>
      <c r="BJ65" s="50"/>
    </row>
    <row r="66">
      <c r="A66" s="163" t="s">
        <v>415</v>
      </c>
      <c r="B66" s="61"/>
      <c r="C66" s="197">
        <f t="shared" ref="C66:N66" si="31">SUM(C5:C34)</f>
        <v>42000</v>
      </c>
      <c r="D66" s="197">
        <f t="shared" si="31"/>
        <v>50000</v>
      </c>
      <c r="E66" s="197">
        <f t="shared" si="31"/>
        <v>50000</v>
      </c>
      <c r="F66" s="197">
        <f t="shared" si="31"/>
        <v>100000</v>
      </c>
      <c r="G66" s="197">
        <f t="shared" si="31"/>
        <v>132500</v>
      </c>
      <c r="H66" s="197">
        <f t="shared" si="31"/>
        <v>86302</v>
      </c>
      <c r="I66" s="197">
        <f t="shared" si="31"/>
        <v>50000</v>
      </c>
      <c r="J66" s="197">
        <f t="shared" si="31"/>
        <v>183001</v>
      </c>
      <c r="K66" s="197">
        <f t="shared" si="31"/>
        <v>261614</v>
      </c>
      <c r="L66" s="198">
        <f t="shared" si="31"/>
        <v>364739</v>
      </c>
      <c r="M66" s="197">
        <f t="shared" si="31"/>
        <v>672867</v>
      </c>
      <c r="N66" s="197">
        <f t="shared" si="31"/>
        <v>623541</v>
      </c>
      <c r="O66" s="199">
        <f t="shared" ref="O66:AA66" si="32">O65</f>
        <v>734805.48</v>
      </c>
      <c r="P66" s="199">
        <f t="shared" si="32"/>
        <v>440000</v>
      </c>
      <c r="Q66" s="199">
        <f t="shared" si="32"/>
        <v>503328.49</v>
      </c>
      <c r="R66" s="199">
        <f t="shared" si="32"/>
        <v>696689.54</v>
      </c>
      <c r="S66" s="199">
        <f t="shared" si="32"/>
        <v>1132055.94</v>
      </c>
      <c r="T66" s="199">
        <f t="shared" si="32"/>
        <v>682120.66</v>
      </c>
      <c r="U66" s="199">
        <f t="shared" si="32"/>
        <v>1448919.41</v>
      </c>
      <c r="V66" s="199">
        <f t="shared" si="32"/>
        <v>1742499.67</v>
      </c>
      <c r="W66" s="199">
        <f t="shared" si="32"/>
        <v>1078333.67</v>
      </c>
      <c r="X66" s="199">
        <f t="shared" si="32"/>
        <v>1366075.67</v>
      </c>
      <c r="Y66" s="199">
        <f t="shared" si="32"/>
        <v>1628213.93</v>
      </c>
      <c r="Z66" s="199">
        <f t="shared" si="32"/>
        <v>1370000</v>
      </c>
      <c r="AA66" s="199">
        <f t="shared" si="32"/>
        <v>1175000</v>
      </c>
      <c r="AB66" s="200">
        <v>1239285.0</v>
      </c>
      <c r="AC66" s="200">
        <v>2078036.0</v>
      </c>
      <c r="AD66" s="200">
        <v>2155821.0</v>
      </c>
      <c r="AE66" s="200">
        <v>2088439.0</v>
      </c>
      <c r="AF66" s="200">
        <v>1652984.0</v>
      </c>
      <c r="AG66" s="200">
        <v>2288982.0</v>
      </c>
      <c r="AH66" s="200">
        <v>1409498.0</v>
      </c>
      <c r="AI66" s="200">
        <v>1278182.0</v>
      </c>
      <c r="AJ66" s="200">
        <v>1622865.0</v>
      </c>
      <c r="AK66" s="200">
        <v>1711942.0</v>
      </c>
      <c r="AL66" s="200">
        <v>1784629.0</v>
      </c>
      <c r="AM66" s="199">
        <f>AM65</f>
        <v>1560716.19</v>
      </c>
      <c r="AN66" s="184"/>
      <c r="AO66" s="184"/>
      <c r="AP66" s="201">
        <f t="shared" si="33"/>
        <v>37485985.65</v>
      </c>
      <c r="AQ66" s="202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 t="str">
        <f t="shared" ref="BC66:BG66" si="34">#REF!/BC65</f>
        <v>#REF!</v>
      </c>
      <c r="BD66" s="50" t="str">
        <f t="shared" si="34"/>
        <v>#REF!</v>
      </c>
      <c r="BE66" s="50" t="str">
        <f t="shared" si="34"/>
        <v>#REF!</v>
      </c>
      <c r="BF66" s="50" t="str">
        <f t="shared" si="34"/>
        <v>#REF!</v>
      </c>
      <c r="BG66" s="50" t="str">
        <f t="shared" si="34"/>
        <v>#REF!</v>
      </c>
      <c r="BH66" s="50"/>
      <c r="BI66" s="50"/>
      <c r="BJ66" s="50"/>
    </row>
    <row r="67">
      <c r="A67" s="203"/>
      <c r="B67" s="61"/>
      <c r="C67" s="204">
        <f t="shared" ref="C67:AA67" si="35">SUMIF($B$4:$B$65,$A$67,C4:C65)</f>
        <v>0</v>
      </c>
      <c r="D67" s="204">
        <f t="shared" si="35"/>
        <v>0</v>
      </c>
      <c r="E67" s="204">
        <f t="shared" si="35"/>
        <v>0</v>
      </c>
      <c r="F67" s="204">
        <f t="shared" si="35"/>
        <v>0</v>
      </c>
      <c r="G67" s="204">
        <f t="shared" si="35"/>
        <v>0</v>
      </c>
      <c r="H67" s="204">
        <f t="shared" si="35"/>
        <v>0</v>
      </c>
      <c r="I67" s="204">
        <f t="shared" si="35"/>
        <v>0</v>
      </c>
      <c r="J67" s="204">
        <f t="shared" si="35"/>
        <v>0</v>
      </c>
      <c r="K67" s="204">
        <f t="shared" si="35"/>
        <v>0</v>
      </c>
      <c r="L67" s="204">
        <f t="shared" si="35"/>
        <v>0</v>
      </c>
      <c r="M67" s="204">
        <f t="shared" si="35"/>
        <v>0</v>
      </c>
      <c r="N67" s="204">
        <f t="shared" si="35"/>
        <v>0</v>
      </c>
      <c r="O67" s="204">
        <f t="shared" si="35"/>
        <v>0</v>
      </c>
      <c r="P67" s="204">
        <f t="shared" si="35"/>
        <v>0</v>
      </c>
      <c r="Q67" s="204">
        <f t="shared" si="35"/>
        <v>0</v>
      </c>
      <c r="R67" s="204">
        <f t="shared" si="35"/>
        <v>0</v>
      </c>
      <c r="S67" s="204">
        <f t="shared" si="35"/>
        <v>0</v>
      </c>
      <c r="T67" s="204">
        <f t="shared" si="35"/>
        <v>0</v>
      </c>
      <c r="U67" s="204">
        <f t="shared" si="35"/>
        <v>0</v>
      </c>
      <c r="V67" s="204">
        <f t="shared" si="35"/>
        <v>0</v>
      </c>
      <c r="W67" s="204">
        <f t="shared" si="35"/>
        <v>0</v>
      </c>
      <c r="X67" s="204">
        <f t="shared" si="35"/>
        <v>0</v>
      </c>
      <c r="Y67" s="204">
        <f t="shared" si="35"/>
        <v>0</v>
      </c>
      <c r="Z67" s="204">
        <f t="shared" si="35"/>
        <v>0</v>
      </c>
      <c r="AA67" s="204">
        <f t="shared" si="35"/>
        <v>0</v>
      </c>
      <c r="AB67" s="205">
        <v>0.0</v>
      </c>
      <c r="AC67" s="205">
        <v>0.0</v>
      </c>
      <c r="AD67" s="205">
        <v>0.0</v>
      </c>
      <c r="AE67" s="205">
        <v>0.0</v>
      </c>
      <c r="AF67" s="205">
        <v>0.0</v>
      </c>
      <c r="AG67" s="205">
        <v>0.0</v>
      </c>
      <c r="AH67" s="205">
        <v>0.0</v>
      </c>
      <c r="AI67" s="205">
        <v>0.0</v>
      </c>
      <c r="AJ67" s="205">
        <v>0.0</v>
      </c>
      <c r="AK67" s="205">
        <v>0.0</v>
      </c>
      <c r="AL67" s="205">
        <v>0.0</v>
      </c>
      <c r="AM67" s="206">
        <f>SUMIF($B$4:$B$65,$A$67,AM4:AM65)</f>
        <v>0</v>
      </c>
      <c r="AN67" s="207"/>
      <c r="AO67" s="207"/>
      <c r="AP67" s="201">
        <f t="shared" si="33"/>
        <v>0</v>
      </c>
      <c r="AQ67" s="196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</row>
    <row r="68">
      <c r="A68" s="203"/>
      <c r="B68" s="61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4">
        <f>R65+S65+T65</f>
        <v>2510866.14</v>
      </c>
      <c r="S68" s="208"/>
      <c r="T68" s="208"/>
      <c r="U68" s="204">
        <f>U65+V65+W65</f>
        <v>4269752.75</v>
      </c>
      <c r="V68" s="208"/>
      <c r="W68" s="208"/>
      <c r="X68" s="204">
        <f>X65+Y65+Z65</f>
        <v>4364289.6</v>
      </c>
      <c r="Y68" s="208"/>
      <c r="Z68" s="208"/>
      <c r="AA68" s="204"/>
      <c r="AB68" s="208"/>
      <c r="AC68" s="208"/>
      <c r="AD68" s="208"/>
      <c r="AE68" s="208"/>
      <c r="AF68" s="208"/>
      <c r="AG68" s="208"/>
      <c r="AH68" s="208"/>
      <c r="AI68" s="208"/>
      <c r="AJ68" s="208"/>
      <c r="AK68" s="208"/>
      <c r="AL68" s="208"/>
      <c r="AM68" s="208"/>
      <c r="AN68" s="204"/>
      <c r="AO68" s="204"/>
      <c r="AP68" s="196"/>
      <c r="AQ68" s="196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</row>
    <row r="69">
      <c r="A69" s="203"/>
      <c r="B69" s="209"/>
      <c r="C69" s="208">
        <f t="shared" ref="C69:D69" si="36">COUNTIF($C$4:$C$34,B4:B34)</f>
        <v>0</v>
      </c>
      <c r="D69" s="208">
        <f t="shared" si="36"/>
        <v>0</v>
      </c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10">
        <f>U68/R68</f>
        <v>1.700509909</v>
      </c>
      <c r="V69" s="208"/>
      <c r="W69" s="208"/>
      <c r="X69" s="210">
        <f>X68/U68</f>
        <v>1.02214106</v>
      </c>
      <c r="Y69" s="208"/>
      <c r="Z69" s="208"/>
      <c r="AA69" s="210"/>
      <c r="AB69" s="208"/>
      <c r="AC69" s="208"/>
      <c r="AD69" s="208"/>
      <c r="AE69" s="208"/>
      <c r="AF69" s="208"/>
      <c r="AG69" s="208"/>
      <c r="AH69" s="208"/>
      <c r="AI69" s="208"/>
      <c r="AJ69" s="208"/>
      <c r="AK69" s="208"/>
      <c r="AL69" s="211">
        <v>753099.0</v>
      </c>
      <c r="AM69" s="208">
        <f>AM51+AM35+AM38+AM63</f>
        <v>460702.72</v>
      </c>
      <c r="AN69" s="210"/>
      <c r="AO69" s="210" t="str">
        <f>AO68/#REF!</f>
        <v>#REF!</v>
      </c>
      <c r="AP69" s="196"/>
      <c r="AQ69" s="196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</row>
    <row r="70">
      <c r="A70" s="212"/>
      <c r="B70" s="209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>
        <f>SUM(F74:Q74)/12</f>
        <v>94381.75498</v>
      </c>
      <c r="R70" s="208"/>
      <c r="S70" s="208"/>
      <c r="T70" s="208"/>
      <c r="U70" s="208"/>
      <c r="V70" s="208"/>
      <c r="W70" s="208"/>
      <c r="X70" s="208"/>
      <c r="Y70" s="208"/>
      <c r="Z70" s="208"/>
      <c r="AA70" s="210"/>
      <c r="AB70" s="208"/>
      <c r="AC70" s="208"/>
      <c r="AD70" s="208"/>
      <c r="AE70" s="208"/>
      <c r="AF70" s="208"/>
      <c r="AG70" s="208"/>
      <c r="AH70" s="208"/>
      <c r="AI70" s="208"/>
      <c r="AJ70" s="208"/>
      <c r="AK70" s="208"/>
      <c r="AL70" s="208"/>
      <c r="AM70" s="208"/>
      <c r="AN70" s="210"/>
      <c r="AO70" s="210" t="str">
        <f>AO68/#REF!</f>
        <v>#REF!</v>
      </c>
      <c r="AP70" s="196"/>
      <c r="AQ70" s="154"/>
      <c r="AR70" s="154"/>
      <c r="AS70" s="154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</row>
    <row r="71">
      <c r="A71" s="154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4"/>
      <c r="AC71" s="214"/>
      <c r="AD71" s="214"/>
      <c r="AE71" s="214"/>
      <c r="AF71" s="214"/>
      <c r="AG71" s="214"/>
      <c r="AH71" s="214"/>
      <c r="AI71" s="214"/>
      <c r="AJ71" s="214"/>
      <c r="AK71" s="214"/>
      <c r="AL71" s="214"/>
      <c r="AM71" s="214"/>
      <c r="AN71" s="204"/>
      <c r="AO71" s="204"/>
      <c r="AP71" s="215"/>
      <c r="AQ71" s="154"/>
      <c r="AR71" s="154"/>
      <c r="AS71" s="154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</row>
    <row r="72">
      <c r="A72" s="154"/>
      <c r="B72" s="209"/>
      <c r="C72" s="208"/>
      <c r="D72" s="208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4"/>
      <c r="AC72" s="214"/>
      <c r="AD72" s="214"/>
      <c r="AE72" s="214"/>
      <c r="AF72" s="214"/>
      <c r="AG72" s="214"/>
      <c r="AH72" s="214"/>
      <c r="AI72" s="214"/>
      <c r="AJ72" s="214"/>
      <c r="AK72" s="214"/>
      <c r="AL72" s="214"/>
      <c r="AM72" s="214"/>
      <c r="AN72" s="204"/>
      <c r="AO72" s="204"/>
      <c r="AP72" s="215"/>
      <c r="AQ72" s="154"/>
      <c r="AR72" s="154"/>
      <c r="AS72" s="154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</row>
    <row r="73">
      <c r="A73" s="216"/>
      <c r="B73" s="209"/>
      <c r="C73" s="208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208"/>
      <c r="AC73" s="208"/>
      <c r="AD73" s="208"/>
      <c r="AE73" s="208"/>
      <c r="AF73" s="208"/>
      <c r="AG73" s="208"/>
      <c r="AH73" s="208"/>
      <c r="AI73" s="208"/>
      <c r="AJ73" s="208"/>
      <c r="AK73" s="208"/>
      <c r="AL73" s="208"/>
      <c r="AM73" s="208"/>
      <c r="AN73" s="204"/>
      <c r="AO73" s="204"/>
      <c r="AP73" s="215"/>
      <c r="AQ73" s="154"/>
      <c r="AR73" s="154"/>
      <c r="AS73" s="154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</row>
    <row r="74">
      <c r="A74" s="111" t="s">
        <v>416</v>
      </c>
      <c r="B74" s="213"/>
      <c r="C74" s="213">
        <f t="shared" ref="C74:AA74" si="37">C77/C75</f>
        <v>0</v>
      </c>
      <c r="D74" s="213">
        <f t="shared" si="37"/>
        <v>0</v>
      </c>
      <c r="E74" s="213">
        <f t="shared" si="37"/>
        <v>0</v>
      </c>
      <c r="F74" s="213">
        <f t="shared" si="37"/>
        <v>50000</v>
      </c>
      <c r="G74" s="213">
        <f t="shared" si="37"/>
        <v>66250</v>
      </c>
      <c r="H74" s="213">
        <f t="shared" si="37"/>
        <v>86302</v>
      </c>
      <c r="I74" s="213">
        <f t="shared" si="37"/>
        <v>50000</v>
      </c>
      <c r="J74" s="213">
        <f t="shared" si="37"/>
        <v>91500.5</v>
      </c>
      <c r="K74" s="213">
        <f t="shared" si="37"/>
        <v>130807</v>
      </c>
      <c r="L74" s="213">
        <f t="shared" si="37"/>
        <v>121579.6667</v>
      </c>
      <c r="M74" s="213">
        <f t="shared" si="37"/>
        <v>134573.4</v>
      </c>
      <c r="N74" s="213">
        <f t="shared" si="37"/>
        <v>124708.2</v>
      </c>
      <c r="O74" s="213">
        <f t="shared" si="37"/>
        <v>104972.2114</v>
      </c>
      <c r="P74" s="213">
        <f t="shared" si="37"/>
        <v>88000</v>
      </c>
      <c r="Q74" s="213">
        <f t="shared" si="37"/>
        <v>83888.08167</v>
      </c>
      <c r="R74" s="213">
        <f t="shared" si="37"/>
        <v>116114.9233</v>
      </c>
      <c r="S74" s="213">
        <f t="shared" si="37"/>
        <v>161722.2771</v>
      </c>
      <c r="T74" s="213">
        <f t="shared" si="37"/>
        <v>113686.7767</v>
      </c>
      <c r="U74" s="213">
        <f t="shared" si="37"/>
        <v>206988.4871</v>
      </c>
      <c r="V74" s="213">
        <f t="shared" si="37"/>
        <v>193611.0744</v>
      </c>
      <c r="W74" s="213">
        <f t="shared" si="37"/>
        <v>134791.7088</v>
      </c>
      <c r="X74" s="213">
        <f t="shared" si="37"/>
        <v>136607.567</v>
      </c>
      <c r="Y74" s="213">
        <f t="shared" si="37"/>
        <v>148019.4482</v>
      </c>
      <c r="Z74" s="213">
        <f t="shared" si="37"/>
        <v>171250</v>
      </c>
      <c r="AA74" s="213">
        <f t="shared" si="37"/>
        <v>195833.3333</v>
      </c>
      <c r="AB74" s="214">
        <v>177041.0</v>
      </c>
      <c r="AC74" s="214">
        <v>138536.0</v>
      </c>
      <c r="AD74" s="214">
        <v>143721.0</v>
      </c>
      <c r="AE74" s="214">
        <v>139229.0</v>
      </c>
      <c r="AF74" s="214">
        <v>127153.0</v>
      </c>
      <c r="AG74" s="214">
        <v>143061.0</v>
      </c>
      <c r="AH74" s="214">
        <v>140950.0</v>
      </c>
      <c r="AI74" s="214">
        <v>127818.0</v>
      </c>
      <c r="AJ74" s="214">
        <v>147533.0</v>
      </c>
      <c r="AK74" s="214">
        <v>171194.0</v>
      </c>
      <c r="AL74" s="214">
        <v>162239.0</v>
      </c>
      <c r="AM74" s="214">
        <f>AM77/AM75</f>
        <v>156071.619</v>
      </c>
      <c r="AN74" s="204"/>
      <c r="AO74" s="204" t="str">
        <f>#REF!*1.1067</f>
        <v>#REF!</v>
      </c>
      <c r="AP74" s="215"/>
      <c r="AQ74" s="154"/>
      <c r="AR74" s="154"/>
      <c r="AS74" s="154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</row>
    <row r="75">
      <c r="A75" s="111" t="s">
        <v>417</v>
      </c>
      <c r="B75" s="204"/>
      <c r="C75" s="204">
        <f t="shared" ref="C75:AA75" si="38">COUNTIF(C5:C34,"&gt;0")</f>
        <v>1</v>
      </c>
      <c r="D75" s="204">
        <f t="shared" si="38"/>
        <v>1</v>
      </c>
      <c r="E75" s="204">
        <f t="shared" si="38"/>
        <v>1</v>
      </c>
      <c r="F75" s="204">
        <f t="shared" si="38"/>
        <v>2</v>
      </c>
      <c r="G75" s="204">
        <f t="shared" si="38"/>
        <v>2</v>
      </c>
      <c r="H75" s="204">
        <f t="shared" si="38"/>
        <v>1</v>
      </c>
      <c r="I75" s="204">
        <f t="shared" si="38"/>
        <v>1</v>
      </c>
      <c r="J75" s="204">
        <f t="shared" si="38"/>
        <v>2</v>
      </c>
      <c r="K75" s="204">
        <f t="shared" si="38"/>
        <v>2</v>
      </c>
      <c r="L75" s="204">
        <f t="shared" si="38"/>
        <v>3</v>
      </c>
      <c r="M75" s="204">
        <f t="shared" si="38"/>
        <v>5</v>
      </c>
      <c r="N75" s="204">
        <f t="shared" si="38"/>
        <v>5</v>
      </c>
      <c r="O75" s="204">
        <f t="shared" si="38"/>
        <v>7</v>
      </c>
      <c r="P75" s="204">
        <f t="shared" si="38"/>
        <v>5</v>
      </c>
      <c r="Q75" s="204">
        <f t="shared" si="38"/>
        <v>6</v>
      </c>
      <c r="R75" s="204">
        <f t="shared" si="38"/>
        <v>6</v>
      </c>
      <c r="S75" s="204">
        <f t="shared" si="38"/>
        <v>7</v>
      </c>
      <c r="T75" s="204">
        <f t="shared" si="38"/>
        <v>6</v>
      </c>
      <c r="U75" s="204">
        <f t="shared" si="38"/>
        <v>7</v>
      </c>
      <c r="V75" s="204">
        <f t="shared" si="38"/>
        <v>9</v>
      </c>
      <c r="W75" s="204">
        <f t="shared" si="38"/>
        <v>8</v>
      </c>
      <c r="X75" s="204">
        <f t="shared" si="38"/>
        <v>10</v>
      </c>
      <c r="Y75" s="204">
        <f t="shared" si="38"/>
        <v>11</v>
      </c>
      <c r="Z75" s="204">
        <f t="shared" si="38"/>
        <v>8</v>
      </c>
      <c r="AA75" s="204">
        <f t="shared" si="38"/>
        <v>6</v>
      </c>
      <c r="AB75" s="217">
        <v>7.0</v>
      </c>
      <c r="AC75" s="217">
        <v>15.0</v>
      </c>
      <c r="AD75" s="217">
        <v>15.0</v>
      </c>
      <c r="AE75" s="217">
        <v>15.0</v>
      </c>
      <c r="AF75" s="217">
        <v>13.0</v>
      </c>
      <c r="AG75" s="217">
        <v>16.0</v>
      </c>
      <c r="AH75" s="217">
        <v>10.0</v>
      </c>
      <c r="AI75" s="217">
        <v>10.0</v>
      </c>
      <c r="AJ75" s="217">
        <v>11.0</v>
      </c>
      <c r="AK75" s="217">
        <v>10.0</v>
      </c>
      <c r="AL75" s="217">
        <v>11.0</v>
      </c>
      <c r="AM75" s="217">
        <f>COUNTIF(AM5:AM65,"&gt;0")</f>
        <v>10</v>
      </c>
      <c r="AN75" s="208"/>
      <c r="AO75" s="208"/>
      <c r="AP75" s="215"/>
      <c r="AQ75" s="154"/>
      <c r="AR75" s="154"/>
      <c r="AS75" s="154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</row>
    <row r="76">
      <c r="A76" s="218" t="s">
        <v>418</v>
      </c>
      <c r="B76" s="219"/>
      <c r="C76" s="215"/>
      <c r="D76" s="215"/>
      <c r="E76" s="215"/>
      <c r="F76" s="213" t="str">
        <f t="shared" ref="F76:N76" si="39">#REF!</f>
        <v>#REF!</v>
      </c>
      <c r="G76" s="213" t="str">
        <f t="shared" si="39"/>
        <v>#REF!</v>
      </c>
      <c r="H76" s="213" t="str">
        <f t="shared" si="39"/>
        <v>#REF!</v>
      </c>
      <c r="I76" s="213" t="str">
        <f t="shared" si="39"/>
        <v>#REF!</v>
      </c>
      <c r="J76" s="213" t="str">
        <f t="shared" si="39"/>
        <v>#REF!</v>
      </c>
      <c r="K76" s="213" t="str">
        <f t="shared" si="39"/>
        <v>#REF!</v>
      </c>
      <c r="L76" s="213" t="str">
        <f t="shared" si="39"/>
        <v>#REF!</v>
      </c>
      <c r="M76" s="213" t="str">
        <f t="shared" si="39"/>
        <v>#REF!</v>
      </c>
      <c r="N76" s="213" t="str">
        <f t="shared" si="39"/>
        <v>#REF!</v>
      </c>
      <c r="O76" s="213" t="str">
        <f t="shared" ref="O76:AA76" si="40">'Динамика ЗП'!W30</f>
        <v>#REF!</v>
      </c>
      <c r="P76" s="213" t="str">
        <f t="shared" si="40"/>
        <v>#REF!</v>
      </c>
      <c r="Q76" s="213" t="str">
        <f t="shared" si="40"/>
        <v>#REF!</v>
      </c>
      <c r="R76" s="213" t="str">
        <f t="shared" si="40"/>
        <v>#REF!</v>
      </c>
      <c r="S76" s="213" t="str">
        <f t="shared" si="40"/>
        <v>#REF!</v>
      </c>
      <c r="T76" s="213" t="str">
        <f t="shared" si="40"/>
        <v>#REF!</v>
      </c>
      <c r="U76" s="213" t="str">
        <f t="shared" si="40"/>
        <v>#REF!</v>
      </c>
      <c r="V76" s="213" t="str">
        <f t="shared" si="40"/>
        <v>#REF!</v>
      </c>
      <c r="W76" s="213" t="str">
        <f t="shared" si="40"/>
        <v>#REF!</v>
      </c>
      <c r="X76" s="213" t="str">
        <f t="shared" si="40"/>
        <v>#REF!</v>
      </c>
      <c r="Y76" s="213" t="str">
        <f t="shared" si="40"/>
        <v>#REF!</v>
      </c>
      <c r="Z76" s="213" t="str">
        <f t="shared" si="40"/>
        <v>#REF!</v>
      </c>
      <c r="AA76" s="213" t="str">
        <f t="shared" si="40"/>
        <v>#REF!</v>
      </c>
      <c r="AB76" s="220">
        <v>1493859.0</v>
      </c>
      <c r="AC76" s="220">
        <v>1817406.0</v>
      </c>
      <c r="AD76" s="220">
        <v>1904956.0</v>
      </c>
      <c r="AE76" s="220">
        <v>2083674.0</v>
      </c>
      <c r="AF76" s="220">
        <v>1873643.0</v>
      </c>
      <c r="AG76" s="220">
        <v>1655400.0</v>
      </c>
      <c r="AH76" s="220">
        <v>1230948.0</v>
      </c>
      <c r="AI76" s="220">
        <v>1340422.0</v>
      </c>
      <c r="AJ76" s="220">
        <v>1215810.0</v>
      </c>
      <c r="AK76" s="220">
        <v>956756.0</v>
      </c>
      <c r="AL76" s="220">
        <v>986602.0</v>
      </c>
      <c r="AM76" s="220">
        <f>'Отчет по ЗП'!M13</f>
        <v>929439.3786</v>
      </c>
      <c r="AN76" s="215"/>
      <c r="AO76" s="215"/>
      <c r="AP76" s="215"/>
      <c r="AQ76" s="154"/>
      <c r="AR76" s="154"/>
      <c r="AS76" s="154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</row>
    <row r="77">
      <c r="A77" s="218" t="s">
        <v>12</v>
      </c>
      <c r="B77" s="219"/>
      <c r="C77" s="215"/>
      <c r="D77" s="215"/>
      <c r="E77" s="215"/>
      <c r="F77" s="213">
        <f t="shared" ref="F77:AA77" si="41">F65</f>
        <v>100000</v>
      </c>
      <c r="G77" s="213">
        <f t="shared" si="41"/>
        <v>132500</v>
      </c>
      <c r="H77" s="213">
        <f t="shared" si="41"/>
        <v>86302</v>
      </c>
      <c r="I77" s="213">
        <f t="shared" si="41"/>
        <v>50000</v>
      </c>
      <c r="J77" s="213">
        <f t="shared" si="41"/>
        <v>183001</v>
      </c>
      <c r="K77" s="213">
        <f t="shared" si="41"/>
        <v>261614</v>
      </c>
      <c r="L77" s="213">
        <f t="shared" si="41"/>
        <v>364739</v>
      </c>
      <c r="M77" s="213">
        <f t="shared" si="41"/>
        <v>672867</v>
      </c>
      <c r="N77" s="213">
        <f t="shared" si="41"/>
        <v>623541</v>
      </c>
      <c r="O77" s="213">
        <f t="shared" si="41"/>
        <v>734805.48</v>
      </c>
      <c r="P77" s="213">
        <f t="shared" si="41"/>
        <v>440000</v>
      </c>
      <c r="Q77" s="213">
        <f t="shared" si="41"/>
        <v>503328.49</v>
      </c>
      <c r="R77" s="213">
        <f t="shared" si="41"/>
        <v>696689.54</v>
      </c>
      <c r="S77" s="213">
        <f t="shared" si="41"/>
        <v>1132055.94</v>
      </c>
      <c r="T77" s="213">
        <f t="shared" si="41"/>
        <v>682120.66</v>
      </c>
      <c r="U77" s="213">
        <f t="shared" si="41"/>
        <v>1448919.41</v>
      </c>
      <c r="V77" s="213">
        <f t="shared" si="41"/>
        <v>1742499.67</v>
      </c>
      <c r="W77" s="213">
        <f t="shared" si="41"/>
        <v>1078333.67</v>
      </c>
      <c r="X77" s="213">
        <f t="shared" si="41"/>
        <v>1366075.67</v>
      </c>
      <c r="Y77" s="213">
        <f t="shared" si="41"/>
        <v>1628213.93</v>
      </c>
      <c r="Z77" s="213">
        <f t="shared" si="41"/>
        <v>1370000</v>
      </c>
      <c r="AA77" s="213">
        <f t="shared" si="41"/>
        <v>1175000</v>
      </c>
      <c r="AB77" s="220">
        <v>1239285.0</v>
      </c>
      <c r="AC77" s="220">
        <v>2078036.0</v>
      </c>
      <c r="AD77" s="220">
        <v>2155821.0</v>
      </c>
      <c r="AE77" s="220">
        <v>2088439.0</v>
      </c>
      <c r="AF77" s="220">
        <v>1652984.0</v>
      </c>
      <c r="AG77" s="220">
        <v>2288982.0</v>
      </c>
      <c r="AH77" s="220">
        <v>1409498.0</v>
      </c>
      <c r="AI77" s="220">
        <v>1278182.0</v>
      </c>
      <c r="AJ77" s="220">
        <v>1622865.0</v>
      </c>
      <c r="AK77" s="220">
        <v>1711942.0</v>
      </c>
      <c r="AL77" s="220">
        <v>1784629.0</v>
      </c>
      <c r="AM77" s="220">
        <f>AM65</f>
        <v>1560716.19</v>
      </c>
      <c r="AN77" s="215"/>
      <c r="AO77" s="215"/>
      <c r="AP77" s="215"/>
      <c r="AQ77" s="154"/>
      <c r="AR77" s="154"/>
      <c r="AS77" s="154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</row>
    <row r="78">
      <c r="A78" s="218" t="s">
        <v>419</v>
      </c>
      <c r="B78" s="219"/>
      <c r="C78" s="215"/>
      <c r="D78" s="215"/>
      <c r="E78" s="215"/>
      <c r="F78" s="210" t="str">
        <f t="shared" ref="F78:AA78" si="42">F76/F77</f>
        <v>#REF!</v>
      </c>
      <c r="G78" s="210" t="str">
        <f t="shared" si="42"/>
        <v>#REF!</v>
      </c>
      <c r="H78" s="210" t="str">
        <f t="shared" si="42"/>
        <v>#REF!</v>
      </c>
      <c r="I78" s="210" t="str">
        <f t="shared" si="42"/>
        <v>#REF!</v>
      </c>
      <c r="J78" s="210" t="str">
        <f t="shared" si="42"/>
        <v>#REF!</v>
      </c>
      <c r="K78" s="210" t="str">
        <f t="shared" si="42"/>
        <v>#REF!</v>
      </c>
      <c r="L78" s="210" t="str">
        <f t="shared" si="42"/>
        <v>#REF!</v>
      </c>
      <c r="M78" s="210" t="str">
        <f t="shared" si="42"/>
        <v>#REF!</v>
      </c>
      <c r="N78" s="210" t="str">
        <f t="shared" si="42"/>
        <v>#REF!</v>
      </c>
      <c r="O78" s="210" t="str">
        <f t="shared" si="42"/>
        <v>#REF!</v>
      </c>
      <c r="P78" s="210" t="str">
        <f t="shared" si="42"/>
        <v>#REF!</v>
      </c>
      <c r="Q78" s="210" t="str">
        <f t="shared" si="42"/>
        <v>#REF!</v>
      </c>
      <c r="R78" s="210" t="str">
        <f t="shared" si="42"/>
        <v>#REF!</v>
      </c>
      <c r="S78" s="210" t="str">
        <f t="shared" si="42"/>
        <v>#REF!</v>
      </c>
      <c r="T78" s="210" t="str">
        <f t="shared" si="42"/>
        <v>#REF!</v>
      </c>
      <c r="U78" s="210" t="str">
        <f t="shared" si="42"/>
        <v>#REF!</v>
      </c>
      <c r="V78" s="210" t="str">
        <f t="shared" si="42"/>
        <v>#REF!</v>
      </c>
      <c r="W78" s="210" t="str">
        <f t="shared" si="42"/>
        <v>#REF!</v>
      </c>
      <c r="X78" s="210" t="str">
        <f t="shared" si="42"/>
        <v>#REF!</v>
      </c>
      <c r="Y78" s="210" t="str">
        <f t="shared" si="42"/>
        <v>#REF!</v>
      </c>
      <c r="Z78" s="210" t="str">
        <f t="shared" si="42"/>
        <v>#REF!</v>
      </c>
      <c r="AA78" s="210" t="str">
        <f t="shared" si="42"/>
        <v>#REF!</v>
      </c>
      <c r="AB78" s="221">
        <v>1.2054</v>
      </c>
      <c r="AC78" s="221">
        <v>0.8746</v>
      </c>
      <c r="AD78" s="221">
        <v>0.8836</v>
      </c>
      <c r="AE78" s="221">
        <v>0.9977</v>
      </c>
      <c r="AF78" s="221">
        <v>1.1335</v>
      </c>
      <c r="AG78" s="221">
        <v>0.7232</v>
      </c>
      <c r="AH78" s="221">
        <v>0.8733</v>
      </c>
      <c r="AI78" s="221">
        <v>1.0487</v>
      </c>
      <c r="AJ78" s="221">
        <v>0.7492</v>
      </c>
      <c r="AK78" s="221">
        <v>0.5589</v>
      </c>
      <c r="AL78" s="221">
        <v>0.5528</v>
      </c>
      <c r="AM78" s="221">
        <f>AM76/AM77</f>
        <v>0.595521072</v>
      </c>
      <c r="AN78" s="215"/>
      <c r="AO78" s="215"/>
      <c r="AP78" s="215"/>
      <c r="AQ78" s="151"/>
      <c r="AR78" s="151"/>
      <c r="AS78" s="154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</row>
    <row r="79">
      <c r="A79" s="222" t="s">
        <v>420</v>
      </c>
      <c r="B79" s="223"/>
      <c r="C79" s="224"/>
      <c r="D79" s="224"/>
      <c r="E79" s="224"/>
      <c r="F79" s="224"/>
      <c r="G79" s="224"/>
      <c r="H79" s="224"/>
      <c r="I79" s="224"/>
      <c r="J79" s="224"/>
      <c r="K79" s="225"/>
      <c r="L79" s="226"/>
      <c r="M79" s="227"/>
      <c r="N79" s="227"/>
      <c r="O79" s="228">
        <f t="shared" ref="O79:AA79" si="43">O66-C66</f>
        <v>692805.48</v>
      </c>
      <c r="P79" s="228">
        <f t="shared" si="43"/>
        <v>390000</v>
      </c>
      <c r="Q79" s="228">
        <f t="shared" si="43"/>
        <v>453328.49</v>
      </c>
      <c r="R79" s="228">
        <f t="shared" si="43"/>
        <v>596689.54</v>
      </c>
      <c r="S79" s="228">
        <f t="shared" si="43"/>
        <v>999555.94</v>
      </c>
      <c r="T79" s="228">
        <f t="shared" si="43"/>
        <v>595818.66</v>
      </c>
      <c r="U79" s="228">
        <f t="shared" si="43"/>
        <v>1398919.41</v>
      </c>
      <c r="V79" s="228">
        <f t="shared" si="43"/>
        <v>1559498.67</v>
      </c>
      <c r="W79" s="228">
        <f t="shared" si="43"/>
        <v>816719.67</v>
      </c>
      <c r="X79" s="228">
        <f t="shared" si="43"/>
        <v>1001336.67</v>
      </c>
      <c r="Y79" s="228">
        <f t="shared" si="43"/>
        <v>955346.93</v>
      </c>
      <c r="Z79" s="228">
        <f t="shared" si="43"/>
        <v>746459</v>
      </c>
      <c r="AA79" s="228">
        <f t="shared" si="43"/>
        <v>440194.52</v>
      </c>
      <c r="AB79" s="228">
        <v>799285.0</v>
      </c>
      <c r="AC79" s="228">
        <v>1638036.0</v>
      </c>
      <c r="AD79" s="228">
        <v>1715821.0</v>
      </c>
      <c r="AE79" s="228">
        <v>1648439.0</v>
      </c>
      <c r="AF79" s="228">
        <v>1212984.0</v>
      </c>
      <c r="AG79" s="228">
        <v>1848982.0</v>
      </c>
      <c r="AH79" s="228">
        <v>969498.0</v>
      </c>
      <c r="AI79" s="228">
        <v>838182.0</v>
      </c>
      <c r="AJ79" s="228">
        <v>1182865.0</v>
      </c>
      <c r="AK79" s="228">
        <v>1271942.0</v>
      </c>
      <c r="AL79" s="228">
        <v>1344629.0</v>
      </c>
      <c r="AM79" s="228">
        <f>AM66-P66</f>
        <v>1120716.19</v>
      </c>
      <c r="AN79" s="224"/>
      <c r="AO79" s="224"/>
      <c r="AP79" s="224"/>
      <c r="AQ79" s="151"/>
      <c r="AR79" s="151"/>
      <c r="AS79" s="154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</row>
    <row r="80">
      <c r="A80" s="222" t="s">
        <v>421</v>
      </c>
      <c r="B80" s="223"/>
      <c r="C80" s="224"/>
      <c r="D80" s="224"/>
      <c r="E80" s="224"/>
      <c r="F80" s="224"/>
      <c r="G80" s="224"/>
      <c r="H80" s="224"/>
      <c r="I80" s="224"/>
      <c r="J80" s="224"/>
      <c r="K80" s="225"/>
      <c r="L80" s="151"/>
      <c r="M80" s="227" t="str">
        <f t="shared" ref="M80:AA80" si="44">M65/A65</f>
        <v>#VALUE!</v>
      </c>
      <c r="N80" s="227" t="str">
        <f t="shared" si="44"/>
        <v>#DIV/0!</v>
      </c>
      <c r="O80" s="227">
        <f t="shared" si="44"/>
        <v>17.49536857</v>
      </c>
      <c r="P80" s="227">
        <f t="shared" si="44"/>
        <v>8.8</v>
      </c>
      <c r="Q80" s="227">
        <f t="shared" si="44"/>
        <v>10.0665698</v>
      </c>
      <c r="R80" s="227">
        <f t="shared" si="44"/>
        <v>6.9668954</v>
      </c>
      <c r="S80" s="227">
        <f t="shared" si="44"/>
        <v>8.543818415</v>
      </c>
      <c r="T80" s="227">
        <f t="shared" si="44"/>
        <v>7.903880095</v>
      </c>
      <c r="U80" s="227">
        <f t="shared" si="44"/>
        <v>28.9783882</v>
      </c>
      <c r="V80" s="227">
        <f t="shared" si="44"/>
        <v>9.521804089</v>
      </c>
      <c r="W80" s="227">
        <f t="shared" si="44"/>
        <v>4.121850016</v>
      </c>
      <c r="X80" s="227">
        <f t="shared" si="44"/>
        <v>3.745351251</v>
      </c>
      <c r="Y80" s="227">
        <f t="shared" si="44"/>
        <v>2.419815402</v>
      </c>
      <c r="Z80" s="227">
        <f t="shared" si="44"/>
        <v>2.197128978</v>
      </c>
      <c r="AA80" s="227">
        <f t="shared" si="44"/>
        <v>1.599062653</v>
      </c>
      <c r="AB80" s="229">
        <v>2.8166</v>
      </c>
      <c r="AC80" s="229">
        <v>4.7228</v>
      </c>
      <c r="AD80" s="229">
        <v>4.8996</v>
      </c>
      <c r="AE80" s="229">
        <v>4.7465</v>
      </c>
      <c r="AF80" s="229">
        <v>3.7568</v>
      </c>
      <c r="AG80" s="229">
        <v>5.2022</v>
      </c>
      <c r="AH80" s="229">
        <v>3.2034</v>
      </c>
      <c r="AI80" s="229">
        <v>2.905</v>
      </c>
      <c r="AJ80" s="229">
        <v>3.6883</v>
      </c>
      <c r="AK80" s="229">
        <v>3.8908</v>
      </c>
      <c r="AL80" s="229">
        <v>4.056</v>
      </c>
      <c r="AM80" s="229">
        <f>AM66/P66</f>
        <v>3.54708225</v>
      </c>
      <c r="AN80" s="224"/>
      <c r="AO80" s="224"/>
      <c r="AP80" s="224"/>
      <c r="AQ80" s="169"/>
      <c r="AR80" s="190"/>
      <c r="AS80" s="202"/>
      <c r="AT80" s="50"/>
      <c r="AU80" s="50"/>
      <c r="AV80" s="202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</row>
    <row r="81">
      <c r="A81" s="159" t="s">
        <v>422</v>
      </c>
      <c r="B81" s="223"/>
      <c r="C81" s="224"/>
      <c r="D81" s="224"/>
      <c r="E81" s="224"/>
      <c r="F81" s="224"/>
      <c r="G81" s="224"/>
      <c r="H81" s="224"/>
      <c r="I81" s="224"/>
      <c r="J81" s="224"/>
      <c r="K81" s="225"/>
      <c r="L81" s="230"/>
      <c r="M81" s="230"/>
      <c r="N81" s="230"/>
      <c r="O81" s="230"/>
      <c r="P81" s="230"/>
      <c r="Q81" s="230"/>
      <c r="R81" s="230"/>
      <c r="S81" s="230"/>
      <c r="T81" s="230"/>
      <c r="U81" s="230"/>
      <c r="V81" s="230"/>
      <c r="W81" s="230"/>
      <c r="X81" s="230"/>
      <c r="Y81" s="230"/>
      <c r="Z81" s="230"/>
      <c r="AA81" s="230"/>
      <c r="AB81" s="231"/>
      <c r="AC81" s="231"/>
      <c r="AD81" s="231"/>
      <c r="AE81" s="231"/>
      <c r="AF81" s="231"/>
      <c r="AG81" s="231"/>
      <c r="AH81" s="231"/>
      <c r="AI81" s="231"/>
      <c r="AJ81" s="231"/>
      <c r="AK81" s="231"/>
      <c r="AL81" s="231"/>
      <c r="AM81" s="231"/>
      <c r="AN81" s="224"/>
      <c r="AO81" s="224"/>
      <c r="AP81" s="224"/>
      <c r="AQ81" s="232" t="s">
        <v>350</v>
      </c>
      <c r="AR81" s="232" t="s">
        <v>423</v>
      </c>
      <c r="AS81" s="202"/>
      <c r="AT81" s="202"/>
      <c r="AU81" s="50"/>
      <c r="AV81" s="202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</row>
    <row r="82">
      <c r="A82" s="50"/>
      <c r="B82" s="61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</row>
    <row r="83">
      <c r="A83" s="50"/>
      <c r="B83" s="61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</row>
    <row r="84">
      <c r="A84" s="50"/>
      <c r="B84" s="61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</row>
    <row r="85">
      <c r="A85" s="50"/>
      <c r="B85" s="61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</row>
    <row r="86">
      <c r="A86" s="50"/>
      <c r="B86" s="61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</row>
    <row r="87">
      <c r="A87" s="50"/>
      <c r="B87" s="61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</row>
    <row r="88">
      <c r="A88" s="50"/>
      <c r="B88" s="61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</row>
    <row r="89">
      <c r="A89" s="50"/>
      <c r="B89" s="61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</row>
    <row r="90">
      <c r="A90" s="50"/>
      <c r="B90" s="61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</row>
    <row r="91">
      <c r="A91" s="50"/>
      <c r="B91" s="61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</row>
    <row r="92">
      <c r="A92" s="50"/>
      <c r="B92" s="61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</row>
    <row r="93">
      <c r="A93" s="50"/>
      <c r="B93" s="61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</row>
    <row r="94">
      <c r="A94" s="50"/>
      <c r="B94" s="61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</row>
    <row r="95">
      <c r="A95" s="50"/>
      <c r="B95" s="61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</row>
    <row r="96">
      <c r="A96" s="50"/>
      <c r="B96" s="61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</row>
    <row r="97">
      <c r="A97" s="50"/>
      <c r="B97" s="61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</row>
    <row r="98">
      <c r="A98" s="50"/>
      <c r="B98" s="61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</row>
    <row r="99">
      <c r="A99" s="50"/>
      <c r="B99" s="61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</row>
    <row r="100">
      <c r="A100" s="50"/>
      <c r="B100" s="61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</row>
    <row r="101">
      <c r="A101" s="50"/>
      <c r="B101" s="61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</row>
    <row r="102">
      <c r="A102" s="50"/>
      <c r="B102" s="61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</row>
    <row r="103">
      <c r="A103" s="50"/>
      <c r="B103" s="61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</row>
    <row r="104">
      <c r="A104" s="50"/>
      <c r="B104" s="61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</row>
    <row r="105">
      <c r="A105" s="50"/>
      <c r="B105" s="61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</row>
    <row r="106">
      <c r="A106" s="50"/>
      <c r="B106" s="61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</row>
    <row r="107">
      <c r="A107" s="50"/>
      <c r="B107" s="61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</row>
    <row r="108">
      <c r="A108" s="50"/>
      <c r="B108" s="61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</row>
    <row r="109">
      <c r="A109" s="50"/>
      <c r="B109" s="61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</row>
    <row r="110">
      <c r="A110" s="50"/>
      <c r="B110" s="61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</row>
    <row r="111">
      <c r="A111" s="50"/>
      <c r="B111" s="61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</row>
    <row r="112">
      <c r="A112" s="50"/>
      <c r="B112" s="61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</row>
    <row r="113">
      <c r="A113" s="50"/>
      <c r="B113" s="61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</row>
    <row r="114">
      <c r="A114" s="50"/>
      <c r="B114" s="61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</row>
    <row r="115">
      <c r="A115" s="50"/>
      <c r="B115" s="61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</row>
    <row r="116">
      <c r="A116" s="50"/>
      <c r="B116" s="61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</row>
    <row r="117">
      <c r="A117" s="50"/>
      <c r="B117" s="61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</row>
    <row r="118">
      <c r="A118" s="50"/>
      <c r="B118" s="61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</row>
    <row r="119">
      <c r="A119" s="50"/>
      <c r="B119" s="61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</row>
    <row r="120">
      <c r="A120" s="50"/>
      <c r="B120" s="61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</row>
    <row r="121">
      <c r="A121" s="50"/>
      <c r="B121" s="61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</row>
    <row r="122">
      <c r="A122" s="50"/>
      <c r="B122" s="61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</row>
    <row r="123">
      <c r="A123" s="50"/>
      <c r="B123" s="61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</row>
    <row r="124">
      <c r="A124" s="50"/>
      <c r="B124" s="61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</row>
    <row r="125">
      <c r="A125" s="50"/>
      <c r="B125" s="61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</row>
    <row r="126">
      <c r="A126" s="50"/>
      <c r="B126" s="61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</row>
    <row r="127">
      <c r="A127" s="50"/>
      <c r="B127" s="61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</row>
    <row r="128">
      <c r="A128" s="50"/>
      <c r="B128" s="61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</row>
    <row r="129">
      <c r="A129" s="50"/>
      <c r="B129" s="61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</row>
    <row r="130">
      <c r="A130" s="50"/>
      <c r="B130" s="61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</row>
    <row r="131">
      <c r="A131" s="50"/>
      <c r="B131" s="61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</row>
    <row r="132">
      <c r="A132" s="50"/>
      <c r="B132" s="61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</row>
    <row r="133">
      <c r="A133" s="50"/>
      <c r="B133" s="61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</row>
    <row r="134">
      <c r="A134" s="50"/>
      <c r="B134" s="61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</row>
    <row r="135">
      <c r="A135" s="50"/>
      <c r="B135" s="61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</row>
    <row r="136">
      <c r="A136" s="50"/>
      <c r="B136" s="61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</row>
    <row r="137">
      <c r="A137" s="50"/>
      <c r="B137" s="61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</row>
    <row r="138">
      <c r="A138" s="50"/>
      <c r="B138" s="61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</row>
    <row r="139">
      <c r="A139" s="50"/>
      <c r="B139" s="61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</row>
    <row r="140">
      <c r="A140" s="50"/>
      <c r="B140" s="61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</row>
    <row r="141">
      <c r="A141" s="50"/>
      <c r="B141" s="61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</row>
    <row r="142">
      <c r="A142" s="50"/>
      <c r="B142" s="61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</row>
    <row r="143">
      <c r="A143" s="50"/>
      <c r="B143" s="61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</row>
    <row r="144">
      <c r="A144" s="50"/>
      <c r="B144" s="61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</row>
    <row r="145">
      <c r="A145" s="50"/>
      <c r="B145" s="61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</row>
    <row r="146">
      <c r="A146" s="50"/>
      <c r="B146" s="61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</row>
    <row r="147">
      <c r="A147" s="50"/>
      <c r="B147" s="61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</row>
    <row r="148">
      <c r="A148" s="50"/>
      <c r="B148" s="61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</row>
    <row r="149">
      <c r="A149" s="50"/>
      <c r="B149" s="61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</row>
    <row r="150">
      <c r="A150" s="50"/>
      <c r="B150" s="61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</row>
    <row r="151">
      <c r="A151" s="50"/>
      <c r="B151" s="61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</row>
    <row r="152">
      <c r="A152" s="50"/>
      <c r="B152" s="61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</row>
    <row r="153">
      <c r="A153" s="50"/>
      <c r="B153" s="61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</row>
    <row r="154">
      <c r="A154" s="50"/>
      <c r="B154" s="61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</row>
    <row r="155">
      <c r="A155" s="50"/>
      <c r="B155" s="61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</row>
    <row r="156">
      <c r="A156" s="50"/>
      <c r="B156" s="61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</row>
    <row r="157">
      <c r="A157" s="50"/>
      <c r="B157" s="61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</row>
    <row r="158">
      <c r="A158" s="50"/>
      <c r="B158" s="61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</row>
    <row r="159">
      <c r="A159" s="50"/>
      <c r="B159" s="61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</row>
    <row r="160">
      <c r="A160" s="50"/>
      <c r="B160" s="61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</row>
    <row r="161">
      <c r="A161" s="50"/>
      <c r="B161" s="61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</row>
    <row r="162">
      <c r="A162" s="50"/>
      <c r="B162" s="61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</row>
    <row r="163">
      <c r="A163" s="50"/>
      <c r="B163" s="61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</row>
    <row r="164">
      <c r="A164" s="50"/>
      <c r="B164" s="61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</row>
    <row r="165">
      <c r="A165" s="50"/>
      <c r="B165" s="61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</row>
    <row r="166">
      <c r="A166" s="50"/>
      <c r="B166" s="61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</row>
    <row r="167">
      <c r="A167" s="50"/>
      <c r="B167" s="61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</row>
    <row r="168">
      <c r="A168" s="50"/>
      <c r="B168" s="61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</row>
    <row r="169">
      <c r="A169" s="50"/>
      <c r="B169" s="61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</row>
    <row r="170">
      <c r="A170" s="50"/>
      <c r="B170" s="61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</row>
    <row r="171">
      <c r="A171" s="50"/>
      <c r="B171" s="61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</row>
    <row r="172">
      <c r="A172" s="50"/>
      <c r="B172" s="61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</row>
    <row r="173">
      <c r="A173" s="50"/>
      <c r="B173" s="61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</row>
    <row r="174">
      <c r="A174" s="50"/>
      <c r="B174" s="61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</row>
    <row r="175">
      <c r="A175" s="50"/>
      <c r="B175" s="61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</row>
    <row r="176">
      <c r="A176" s="50"/>
      <c r="B176" s="61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</row>
    <row r="177">
      <c r="A177" s="50"/>
      <c r="B177" s="61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</row>
    <row r="178">
      <c r="A178" s="50"/>
      <c r="B178" s="61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</row>
    <row r="179">
      <c r="A179" s="50"/>
      <c r="B179" s="61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</row>
    <row r="180">
      <c r="A180" s="50"/>
      <c r="B180" s="61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</row>
    <row r="181">
      <c r="A181" s="50"/>
      <c r="B181" s="61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</row>
    <row r="182">
      <c r="A182" s="50"/>
      <c r="B182" s="61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</row>
    <row r="183">
      <c r="A183" s="50"/>
      <c r="B183" s="61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</row>
    <row r="184">
      <c r="A184" s="50"/>
      <c r="B184" s="61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</row>
    <row r="185">
      <c r="A185" s="50"/>
      <c r="B185" s="61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</row>
    <row r="186">
      <c r="A186" s="50"/>
      <c r="B186" s="61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</row>
    <row r="187">
      <c r="A187" s="50"/>
      <c r="B187" s="61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</row>
    <row r="188">
      <c r="A188" s="50"/>
      <c r="B188" s="61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</row>
    <row r="189">
      <c r="A189" s="50"/>
      <c r="B189" s="61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</row>
    <row r="190">
      <c r="A190" s="50"/>
      <c r="B190" s="61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</row>
    <row r="191">
      <c r="A191" s="50"/>
      <c r="B191" s="61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</row>
    <row r="192">
      <c r="A192" s="50"/>
      <c r="B192" s="61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</row>
    <row r="193">
      <c r="A193" s="50"/>
      <c r="B193" s="61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</row>
    <row r="194">
      <c r="A194" s="50"/>
      <c r="B194" s="61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</row>
    <row r="195">
      <c r="A195" s="50"/>
      <c r="B195" s="61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</row>
    <row r="196">
      <c r="A196" s="50"/>
      <c r="B196" s="61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</row>
    <row r="197">
      <c r="A197" s="50"/>
      <c r="B197" s="61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</row>
    <row r="198">
      <c r="A198" s="50"/>
      <c r="B198" s="61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</row>
    <row r="199">
      <c r="A199" s="50"/>
      <c r="B199" s="61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</row>
    <row r="200">
      <c r="A200" s="50"/>
      <c r="B200" s="61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</row>
    <row r="201">
      <c r="A201" s="50"/>
      <c r="B201" s="61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</row>
    <row r="202">
      <c r="A202" s="50"/>
      <c r="B202" s="61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</row>
    <row r="203">
      <c r="A203" s="50"/>
      <c r="B203" s="61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</row>
    <row r="204">
      <c r="A204" s="50"/>
      <c r="B204" s="61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</row>
    <row r="205">
      <c r="A205" s="50"/>
      <c r="B205" s="61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</row>
    <row r="206">
      <c r="A206" s="50"/>
      <c r="B206" s="61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</row>
    <row r="207">
      <c r="A207" s="50"/>
      <c r="B207" s="61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</row>
    <row r="208">
      <c r="A208" s="50"/>
      <c r="B208" s="61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</row>
    <row r="209">
      <c r="A209" s="50"/>
      <c r="B209" s="61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</row>
    <row r="210">
      <c r="A210" s="50"/>
      <c r="B210" s="61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</row>
    <row r="211">
      <c r="A211" s="50"/>
      <c r="B211" s="61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</row>
    <row r="212">
      <c r="A212" s="50"/>
      <c r="B212" s="61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</row>
    <row r="213">
      <c r="A213" s="50"/>
      <c r="B213" s="61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</row>
    <row r="214">
      <c r="A214" s="50"/>
      <c r="B214" s="61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</row>
    <row r="215">
      <c r="A215" s="50"/>
      <c r="B215" s="61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</row>
    <row r="216">
      <c r="A216" s="50"/>
      <c r="B216" s="61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</row>
    <row r="217">
      <c r="A217" s="50"/>
      <c r="B217" s="61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</row>
    <row r="218">
      <c r="A218" s="50"/>
      <c r="B218" s="61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</row>
    <row r="219">
      <c r="A219" s="50"/>
      <c r="B219" s="61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</row>
    <row r="220">
      <c r="A220" s="50"/>
      <c r="B220" s="61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</row>
    <row r="221">
      <c r="A221" s="50"/>
      <c r="B221" s="61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</row>
    <row r="222">
      <c r="A222" s="50"/>
      <c r="B222" s="61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</row>
    <row r="223">
      <c r="A223" s="50"/>
      <c r="B223" s="61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</row>
    <row r="224">
      <c r="A224" s="50"/>
      <c r="B224" s="61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</row>
    <row r="225">
      <c r="A225" s="50"/>
      <c r="B225" s="61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</row>
    <row r="226">
      <c r="A226" s="50"/>
      <c r="B226" s="61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</row>
    <row r="227">
      <c r="A227" s="50"/>
      <c r="B227" s="61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</row>
    <row r="228">
      <c r="A228" s="50"/>
      <c r="B228" s="61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</row>
    <row r="229">
      <c r="A229" s="50"/>
      <c r="B229" s="61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</row>
    <row r="230">
      <c r="A230" s="50"/>
      <c r="B230" s="61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</row>
    <row r="231">
      <c r="A231" s="50"/>
      <c r="B231" s="61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</row>
    <row r="232">
      <c r="A232" s="50"/>
      <c r="B232" s="61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</row>
    <row r="233">
      <c r="A233" s="50"/>
      <c r="B233" s="61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</row>
    <row r="234">
      <c r="A234" s="50"/>
      <c r="B234" s="61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</row>
    <row r="235">
      <c r="A235" s="50"/>
      <c r="B235" s="61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</row>
    <row r="236">
      <c r="A236" s="50"/>
      <c r="B236" s="61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</row>
    <row r="237">
      <c r="A237" s="50"/>
      <c r="B237" s="61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</row>
    <row r="238">
      <c r="A238" s="50"/>
      <c r="B238" s="61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</row>
    <row r="239">
      <c r="A239" s="50"/>
      <c r="B239" s="61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</row>
    <row r="240">
      <c r="A240" s="50"/>
      <c r="B240" s="61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</row>
    <row r="241">
      <c r="A241" s="50"/>
      <c r="B241" s="61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</row>
    <row r="242">
      <c r="A242" s="50"/>
      <c r="B242" s="61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</row>
    <row r="243">
      <c r="A243" s="50"/>
      <c r="B243" s="61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</row>
    <row r="244">
      <c r="A244" s="50"/>
      <c r="B244" s="61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</row>
    <row r="245">
      <c r="A245" s="50"/>
      <c r="B245" s="61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</row>
    <row r="246">
      <c r="A246" s="50"/>
      <c r="B246" s="61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</row>
    <row r="247">
      <c r="A247" s="50"/>
      <c r="B247" s="61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</row>
    <row r="248">
      <c r="A248" s="50"/>
      <c r="B248" s="61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</row>
    <row r="249">
      <c r="A249" s="50"/>
      <c r="B249" s="61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</row>
    <row r="250">
      <c r="A250" s="50"/>
      <c r="B250" s="61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</row>
    <row r="251">
      <c r="A251" s="50"/>
      <c r="B251" s="61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</row>
    <row r="252">
      <c r="A252" s="50"/>
      <c r="B252" s="61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</row>
    <row r="253">
      <c r="A253" s="50"/>
      <c r="B253" s="61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</row>
    <row r="254">
      <c r="A254" s="50"/>
      <c r="B254" s="61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</row>
    <row r="255">
      <c r="A255" s="50"/>
      <c r="B255" s="61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  <c r="BI255" s="50"/>
      <c r="BJ255" s="50"/>
    </row>
    <row r="256">
      <c r="A256" s="50"/>
      <c r="B256" s="61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</row>
    <row r="257">
      <c r="A257" s="50"/>
      <c r="B257" s="61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</row>
    <row r="258">
      <c r="A258" s="50"/>
      <c r="B258" s="61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</row>
    <row r="259">
      <c r="A259" s="50"/>
      <c r="B259" s="61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</row>
    <row r="260">
      <c r="A260" s="50"/>
      <c r="B260" s="61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/>
      <c r="BJ260" s="50"/>
    </row>
    <row r="261">
      <c r="A261" s="50"/>
      <c r="B261" s="61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</row>
    <row r="262">
      <c r="A262" s="50"/>
      <c r="B262" s="61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</row>
    <row r="263">
      <c r="A263" s="50"/>
      <c r="B263" s="61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</row>
    <row r="264">
      <c r="A264" s="50"/>
      <c r="B264" s="61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0"/>
    </row>
    <row r="265">
      <c r="A265" s="50"/>
      <c r="B265" s="61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</row>
    <row r="266">
      <c r="A266" s="50"/>
      <c r="B266" s="61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</row>
    <row r="267">
      <c r="A267" s="50"/>
      <c r="B267" s="61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</row>
    <row r="268">
      <c r="A268" s="50"/>
      <c r="B268" s="61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</row>
    <row r="269">
      <c r="A269" s="50"/>
      <c r="B269" s="61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</row>
    <row r="270">
      <c r="A270" s="50"/>
      <c r="B270" s="61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</row>
    <row r="271">
      <c r="A271" s="50"/>
      <c r="B271" s="61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</row>
    <row r="272">
      <c r="A272" s="50"/>
      <c r="B272" s="61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</row>
    <row r="273">
      <c r="A273" s="50"/>
      <c r="B273" s="61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</row>
    <row r="274">
      <c r="A274" s="50"/>
      <c r="B274" s="61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</row>
    <row r="275">
      <c r="A275" s="50"/>
      <c r="B275" s="61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</row>
    <row r="276">
      <c r="A276" s="50"/>
      <c r="B276" s="61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</row>
    <row r="277">
      <c r="A277" s="50"/>
      <c r="B277" s="61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</row>
    <row r="278">
      <c r="A278" s="50"/>
      <c r="B278" s="61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</row>
    <row r="279">
      <c r="A279" s="50"/>
      <c r="B279" s="61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</row>
    <row r="280">
      <c r="A280" s="50"/>
      <c r="B280" s="61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/>
      <c r="BJ280" s="50"/>
    </row>
    <row r="281">
      <c r="A281" s="50"/>
      <c r="B281" s="61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</row>
    <row r="282">
      <c r="A282" s="50"/>
      <c r="B282" s="61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</row>
    <row r="283">
      <c r="A283" s="50"/>
      <c r="B283" s="61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</row>
    <row r="284">
      <c r="A284" s="50"/>
      <c r="B284" s="61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</row>
    <row r="285">
      <c r="A285" s="50"/>
      <c r="B285" s="61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</row>
    <row r="286">
      <c r="A286" s="50"/>
      <c r="B286" s="61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</row>
    <row r="287">
      <c r="A287" s="50"/>
      <c r="B287" s="61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</row>
    <row r="288">
      <c r="A288" s="50"/>
      <c r="B288" s="61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</row>
    <row r="289">
      <c r="A289" s="50"/>
      <c r="B289" s="61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</row>
    <row r="290">
      <c r="A290" s="50"/>
      <c r="B290" s="61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/>
      <c r="BJ290" s="50"/>
    </row>
    <row r="291">
      <c r="A291" s="50"/>
      <c r="B291" s="61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/>
      <c r="BJ291" s="50"/>
    </row>
    <row r="292">
      <c r="A292" s="50"/>
      <c r="B292" s="61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/>
      <c r="BJ292" s="50"/>
    </row>
    <row r="293">
      <c r="A293" s="50"/>
      <c r="B293" s="61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</row>
    <row r="294">
      <c r="A294" s="50"/>
      <c r="B294" s="61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/>
      <c r="BJ294" s="50"/>
    </row>
    <row r="295">
      <c r="A295" s="50"/>
      <c r="B295" s="61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</row>
    <row r="296">
      <c r="A296" s="50"/>
      <c r="B296" s="61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</row>
    <row r="297">
      <c r="A297" s="50"/>
      <c r="B297" s="61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</row>
    <row r="298">
      <c r="A298" s="50"/>
      <c r="B298" s="61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  <c r="BI298" s="50"/>
      <c r="BJ298" s="50"/>
    </row>
    <row r="299">
      <c r="A299" s="50"/>
      <c r="B299" s="61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</row>
    <row r="300">
      <c r="A300" s="50"/>
      <c r="B300" s="61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  <c r="BI300" s="50"/>
      <c r="BJ300" s="50"/>
    </row>
    <row r="301">
      <c r="A301" s="50"/>
      <c r="B301" s="61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</row>
    <row r="302">
      <c r="A302" s="50"/>
      <c r="B302" s="61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/>
      <c r="BJ302" s="50"/>
    </row>
    <row r="303">
      <c r="A303" s="50"/>
      <c r="B303" s="61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</row>
    <row r="304">
      <c r="A304" s="50"/>
      <c r="B304" s="61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</row>
    <row r="305">
      <c r="A305" s="50"/>
      <c r="B305" s="61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</row>
    <row r="306">
      <c r="A306" s="50"/>
      <c r="B306" s="61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50"/>
      <c r="BG306" s="50"/>
      <c r="BH306" s="50"/>
      <c r="BI306" s="50"/>
      <c r="BJ306" s="50"/>
    </row>
    <row r="307">
      <c r="A307" s="50"/>
      <c r="B307" s="61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</row>
    <row r="308">
      <c r="A308" s="50"/>
      <c r="B308" s="61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</row>
    <row r="309">
      <c r="A309" s="50"/>
      <c r="B309" s="61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</row>
    <row r="310">
      <c r="A310" s="50"/>
      <c r="B310" s="61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50"/>
      <c r="BH310" s="50"/>
      <c r="BI310" s="50"/>
      <c r="BJ310" s="50"/>
    </row>
    <row r="311">
      <c r="A311" s="50"/>
      <c r="B311" s="61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</row>
    <row r="312">
      <c r="A312" s="50"/>
      <c r="B312" s="61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</row>
    <row r="313">
      <c r="A313" s="50"/>
      <c r="B313" s="61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</row>
    <row r="314">
      <c r="A314" s="50"/>
      <c r="B314" s="61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</row>
    <row r="315">
      <c r="A315" s="50"/>
      <c r="B315" s="61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</row>
    <row r="316">
      <c r="A316" s="50"/>
      <c r="B316" s="61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</row>
    <row r="317">
      <c r="A317" s="50"/>
      <c r="B317" s="61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/>
      <c r="BJ317" s="50"/>
    </row>
    <row r="318">
      <c r="A318" s="50"/>
      <c r="B318" s="61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/>
      <c r="BJ318" s="50"/>
    </row>
    <row r="319">
      <c r="A319" s="50"/>
      <c r="B319" s="61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/>
      <c r="BJ319" s="50"/>
    </row>
    <row r="320">
      <c r="A320" s="50"/>
      <c r="B320" s="61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</row>
    <row r="321">
      <c r="A321" s="50"/>
      <c r="B321" s="61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</row>
    <row r="322">
      <c r="A322" s="50"/>
      <c r="B322" s="61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</row>
    <row r="323">
      <c r="A323" s="50"/>
      <c r="B323" s="61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</row>
    <row r="324">
      <c r="A324" s="50"/>
      <c r="B324" s="61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</row>
    <row r="325">
      <c r="A325" s="50"/>
      <c r="B325" s="61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</row>
    <row r="326">
      <c r="A326" s="50"/>
      <c r="B326" s="61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50"/>
      <c r="BH326" s="50"/>
      <c r="BI326" s="50"/>
      <c r="BJ326" s="50"/>
    </row>
    <row r="327">
      <c r="A327" s="50"/>
      <c r="B327" s="61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/>
      <c r="BE327" s="50"/>
      <c r="BF327" s="50"/>
      <c r="BG327" s="50"/>
      <c r="BH327" s="50"/>
      <c r="BI327" s="50"/>
      <c r="BJ327" s="50"/>
    </row>
    <row r="328">
      <c r="A328" s="50"/>
      <c r="B328" s="61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</row>
    <row r="329">
      <c r="A329" s="50"/>
      <c r="B329" s="61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</row>
    <row r="330">
      <c r="A330" s="50"/>
      <c r="B330" s="61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50"/>
      <c r="BF330" s="50"/>
      <c r="BG330" s="50"/>
      <c r="BH330" s="50"/>
      <c r="BI330" s="50"/>
      <c r="BJ330" s="50"/>
    </row>
    <row r="331">
      <c r="A331" s="50"/>
      <c r="B331" s="61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/>
      <c r="BE331" s="50"/>
      <c r="BF331" s="50"/>
      <c r="BG331" s="50"/>
      <c r="BH331" s="50"/>
      <c r="BI331" s="50"/>
      <c r="BJ331" s="50"/>
    </row>
    <row r="332">
      <c r="A332" s="50"/>
      <c r="B332" s="61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/>
      <c r="BJ332" s="50"/>
    </row>
    <row r="333">
      <c r="A333" s="50"/>
      <c r="B333" s="61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/>
      <c r="BE333" s="50"/>
      <c r="BF333" s="50"/>
      <c r="BG333" s="50"/>
      <c r="BH333" s="50"/>
      <c r="BI333" s="50"/>
      <c r="BJ333" s="50"/>
    </row>
    <row r="334">
      <c r="A334" s="50"/>
      <c r="B334" s="61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/>
      <c r="BJ334" s="50"/>
    </row>
    <row r="335">
      <c r="A335" s="50"/>
      <c r="B335" s="61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/>
      <c r="BJ335" s="50"/>
    </row>
    <row r="336">
      <c r="A336" s="50"/>
      <c r="B336" s="61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50"/>
      <c r="BF336" s="50"/>
      <c r="BG336" s="50"/>
      <c r="BH336" s="50"/>
      <c r="BI336" s="50"/>
      <c r="BJ336" s="50"/>
    </row>
    <row r="337">
      <c r="A337" s="50"/>
      <c r="B337" s="61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50"/>
      <c r="BE337" s="50"/>
      <c r="BF337" s="50"/>
      <c r="BG337" s="50"/>
      <c r="BH337" s="50"/>
      <c r="BI337" s="50"/>
      <c r="BJ337" s="50"/>
    </row>
    <row r="338">
      <c r="A338" s="50"/>
      <c r="B338" s="61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50"/>
      <c r="AQ338" s="50"/>
      <c r="AR338" s="50"/>
      <c r="AS338" s="50"/>
      <c r="AT338" s="50"/>
      <c r="AU338" s="50"/>
      <c r="AV338" s="50"/>
      <c r="AW338" s="50"/>
      <c r="AX338" s="50"/>
      <c r="AY338" s="50"/>
      <c r="AZ338" s="50"/>
      <c r="BA338" s="50"/>
      <c r="BB338" s="50"/>
      <c r="BC338" s="50"/>
      <c r="BD338" s="50"/>
      <c r="BE338" s="50"/>
      <c r="BF338" s="50"/>
      <c r="BG338" s="50"/>
      <c r="BH338" s="50"/>
      <c r="BI338" s="50"/>
      <c r="BJ338" s="50"/>
    </row>
    <row r="339">
      <c r="A339" s="50"/>
      <c r="B339" s="61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  <c r="AQ339" s="50"/>
      <c r="AR339" s="50"/>
      <c r="AS339" s="50"/>
      <c r="AT339" s="50"/>
      <c r="AU339" s="50"/>
      <c r="AV339" s="50"/>
      <c r="AW339" s="50"/>
      <c r="AX339" s="50"/>
      <c r="AY339" s="50"/>
      <c r="AZ339" s="50"/>
      <c r="BA339" s="50"/>
      <c r="BB339" s="50"/>
      <c r="BC339" s="50"/>
      <c r="BD339" s="50"/>
      <c r="BE339" s="50"/>
      <c r="BF339" s="50"/>
      <c r="BG339" s="50"/>
      <c r="BH339" s="50"/>
      <c r="BI339" s="50"/>
      <c r="BJ339" s="50"/>
    </row>
    <row r="340">
      <c r="A340" s="50"/>
      <c r="B340" s="61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/>
      <c r="BE340" s="50"/>
      <c r="BF340" s="50"/>
      <c r="BG340" s="50"/>
      <c r="BH340" s="50"/>
      <c r="BI340" s="50"/>
      <c r="BJ340" s="50"/>
    </row>
    <row r="341">
      <c r="A341" s="50"/>
      <c r="B341" s="61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  <c r="BI341" s="50"/>
      <c r="BJ341" s="50"/>
    </row>
    <row r="342">
      <c r="A342" s="50"/>
      <c r="B342" s="61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50"/>
      <c r="BH342" s="50"/>
      <c r="BI342" s="50"/>
      <c r="BJ342" s="50"/>
    </row>
    <row r="343">
      <c r="A343" s="50"/>
      <c r="B343" s="61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0"/>
      <c r="BE343" s="50"/>
      <c r="BF343" s="50"/>
      <c r="BG343" s="50"/>
      <c r="BH343" s="50"/>
      <c r="BI343" s="50"/>
      <c r="BJ343" s="50"/>
    </row>
    <row r="344">
      <c r="A344" s="50"/>
      <c r="B344" s="61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0"/>
      <c r="BE344" s="50"/>
      <c r="BF344" s="50"/>
      <c r="BG344" s="50"/>
      <c r="BH344" s="50"/>
      <c r="BI344" s="50"/>
      <c r="BJ344" s="50"/>
    </row>
    <row r="345">
      <c r="A345" s="50"/>
      <c r="B345" s="61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/>
      <c r="BB345" s="50"/>
      <c r="BC345" s="50"/>
      <c r="BD345" s="50"/>
      <c r="BE345" s="50"/>
      <c r="BF345" s="50"/>
      <c r="BG345" s="50"/>
      <c r="BH345" s="50"/>
      <c r="BI345" s="50"/>
      <c r="BJ345" s="50"/>
    </row>
    <row r="346">
      <c r="A346" s="50"/>
      <c r="B346" s="61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50"/>
      <c r="BE346" s="50"/>
      <c r="BF346" s="50"/>
      <c r="BG346" s="50"/>
      <c r="BH346" s="50"/>
      <c r="BI346" s="50"/>
      <c r="BJ346" s="50"/>
    </row>
    <row r="347">
      <c r="A347" s="50"/>
      <c r="B347" s="61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/>
      <c r="BB347" s="50"/>
      <c r="BC347" s="50"/>
      <c r="BD347" s="50"/>
      <c r="BE347" s="50"/>
      <c r="BF347" s="50"/>
      <c r="BG347" s="50"/>
      <c r="BH347" s="50"/>
      <c r="BI347" s="50"/>
      <c r="BJ347" s="50"/>
    </row>
    <row r="348">
      <c r="A348" s="50"/>
      <c r="B348" s="61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0"/>
      <c r="BC348" s="50"/>
      <c r="BD348" s="50"/>
      <c r="BE348" s="50"/>
      <c r="BF348" s="50"/>
      <c r="BG348" s="50"/>
      <c r="BH348" s="50"/>
      <c r="BI348" s="50"/>
      <c r="BJ348" s="50"/>
    </row>
    <row r="349">
      <c r="A349" s="50"/>
      <c r="B349" s="61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0"/>
      <c r="BE349" s="50"/>
      <c r="BF349" s="50"/>
      <c r="BG349" s="50"/>
      <c r="BH349" s="50"/>
      <c r="BI349" s="50"/>
      <c r="BJ349" s="50"/>
    </row>
    <row r="350">
      <c r="A350" s="50"/>
      <c r="B350" s="61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  <c r="AQ350" s="50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/>
      <c r="BE350" s="50"/>
      <c r="BF350" s="50"/>
      <c r="BG350" s="50"/>
      <c r="BH350" s="50"/>
      <c r="BI350" s="50"/>
      <c r="BJ350" s="50"/>
    </row>
    <row r="351">
      <c r="A351" s="50"/>
      <c r="B351" s="61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50"/>
      <c r="BE351" s="50"/>
      <c r="BF351" s="50"/>
      <c r="BG351" s="50"/>
      <c r="BH351" s="50"/>
      <c r="BI351" s="50"/>
      <c r="BJ351" s="50"/>
    </row>
    <row r="352">
      <c r="A352" s="50"/>
      <c r="B352" s="61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0"/>
      <c r="BE352" s="50"/>
      <c r="BF352" s="50"/>
      <c r="BG352" s="50"/>
      <c r="BH352" s="50"/>
      <c r="BI352" s="50"/>
      <c r="BJ352" s="50"/>
    </row>
    <row r="353">
      <c r="A353" s="50"/>
      <c r="B353" s="61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0"/>
      <c r="BE353" s="50"/>
      <c r="BF353" s="50"/>
      <c r="BG353" s="50"/>
      <c r="BH353" s="50"/>
      <c r="BI353" s="50"/>
      <c r="BJ353" s="50"/>
    </row>
    <row r="354">
      <c r="A354" s="50"/>
      <c r="B354" s="61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0"/>
      <c r="BE354" s="50"/>
      <c r="BF354" s="50"/>
      <c r="BG354" s="50"/>
      <c r="BH354" s="50"/>
      <c r="BI354" s="50"/>
      <c r="BJ354" s="50"/>
    </row>
    <row r="355">
      <c r="A355" s="50"/>
      <c r="B355" s="61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0"/>
      <c r="BE355" s="50"/>
      <c r="BF355" s="50"/>
      <c r="BG355" s="50"/>
      <c r="BH355" s="50"/>
      <c r="BI355" s="50"/>
      <c r="BJ355" s="50"/>
    </row>
    <row r="356">
      <c r="A356" s="50"/>
      <c r="B356" s="61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0"/>
      <c r="BE356" s="50"/>
      <c r="BF356" s="50"/>
      <c r="BG356" s="50"/>
      <c r="BH356" s="50"/>
      <c r="BI356" s="50"/>
      <c r="BJ356" s="50"/>
    </row>
    <row r="357">
      <c r="A357" s="50"/>
      <c r="B357" s="61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50"/>
      <c r="BE357" s="50"/>
      <c r="BF357" s="50"/>
      <c r="BG357" s="50"/>
      <c r="BH357" s="50"/>
      <c r="BI357" s="50"/>
      <c r="BJ357" s="50"/>
    </row>
    <row r="358">
      <c r="A358" s="50"/>
      <c r="B358" s="61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0"/>
      <c r="BE358" s="50"/>
      <c r="BF358" s="50"/>
      <c r="BG358" s="50"/>
      <c r="BH358" s="50"/>
      <c r="BI358" s="50"/>
      <c r="BJ358" s="50"/>
    </row>
    <row r="359">
      <c r="A359" s="50"/>
      <c r="B359" s="61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50"/>
      <c r="BE359" s="50"/>
      <c r="BF359" s="50"/>
      <c r="BG359" s="50"/>
      <c r="BH359" s="50"/>
      <c r="BI359" s="50"/>
      <c r="BJ359" s="50"/>
    </row>
    <row r="360">
      <c r="A360" s="50"/>
      <c r="B360" s="61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0"/>
      <c r="BC360" s="50"/>
      <c r="BD360" s="50"/>
      <c r="BE360" s="50"/>
      <c r="BF360" s="50"/>
      <c r="BG360" s="50"/>
      <c r="BH360" s="50"/>
      <c r="BI360" s="50"/>
      <c r="BJ360" s="50"/>
    </row>
    <row r="361">
      <c r="A361" s="50"/>
      <c r="B361" s="61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0"/>
      <c r="BE361" s="50"/>
      <c r="BF361" s="50"/>
      <c r="BG361" s="50"/>
      <c r="BH361" s="50"/>
      <c r="BI361" s="50"/>
      <c r="BJ361" s="50"/>
    </row>
    <row r="362">
      <c r="A362" s="50"/>
      <c r="B362" s="61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  <c r="AQ362" s="50"/>
      <c r="AR362" s="50"/>
      <c r="AS362" s="50"/>
      <c r="AT362" s="50"/>
      <c r="AU362" s="50"/>
      <c r="AV362" s="50"/>
      <c r="AW362" s="50"/>
      <c r="AX362" s="50"/>
      <c r="AY362" s="50"/>
      <c r="AZ362" s="50"/>
      <c r="BA362" s="50"/>
      <c r="BB362" s="50"/>
      <c r="BC362" s="50"/>
      <c r="BD362" s="50"/>
      <c r="BE362" s="50"/>
      <c r="BF362" s="50"/>
      <c r="BG362" s="50"/>
      <c r="BH362" s="50"/>
      <c r="BI362" s="50"/>
      <c r="BJ362" s="50"/>
    </row>
    <row r="363">
      <c r="A363" s="50"/>
      <c r="B363" s="61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50"/>
      <c r="AQ363" s="50"/>
      <c r="AR363" s="50"/>
      <c r="AS363" s="50"/>
      <c r="AT363" s="50"/>
      <c r="AU363" s="50"/>
      <c r="AV363" s="50"/>
      <c r="AW363" s="50"/>
      <c r="AX363" s="50"/>
      <c r="AY363" s="50"/>
      <c r="AZ363" s="50"/>
      <c r="BA363" s="50"/>
      <c r="BB363" s="50"/>
      <c r="BC363" s="50"/>
      <c r="BD363" s="50"/>
      <c r="BE363" s="50"/>
      <c r="BF363" s="50"/>
      <c r="BG363" s="50"/>
      <c r="BH363" s="50"/>
      <c r="BI363" s="50"/>
      <c r="BJ363" s="50"/>
    </row>
    <row r="364">
      <c r="A364" s="50"/>
      <c r="B364" s="61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50"/>
      <c r="AQ364" s="50"/>
      <c r="AR364" s="50"/>
      <c r="AS364" s="50"/>
      <c r="AT364" s="50"/>
      <c r="AU364" s="50"/>
      <c r="AV364" s="50"/>
      <c r="AW364" s="50"/>
      <c r="AX364" s="50"/>
      <c r="AY364" s="50"/>
      <c r="AZ364" s="50"/>
      <c r="BA364" s="50"/>
      <c r="BB364" s="50"/>
      <c r="BC364" s="50"/>
      <c r="BD364" s="50"/>
      <c r="BE364" s="50"/>
      <c r="BF364" s="50"/>
      <c r="BG364" s="50"/>
      <c r="BH364" s="50"/>
      <c r="BI364" s="50"/>
      <c r="BJ364" s="50"/>
    </row>
    <row r="365">
      <c r="A365" s="50"/>
      <c r="B365" s="61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50"/>
      <c r="BE365" s="50"/>
      <c r="BF365" s="50"/>
      <c r="BG365" s="50"/>
      <c r="BH365" s="50"/>
      <c r="BI365" s="50"/>
      <c r="BJ365" s="50"/>
    </row>
    <row r="366">
      <c r="A366" s="50"/>
      <c r="B366" s="61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/>
      <c r="BE366" s="50"/>
      <c r="BF366" s="50"/>
      <c r="BG366" s="50"/>
      <c r="BH366" s="50"/>
      <c r="BI366" s="50"/>
      <c r="BJ366" s="50"/>
    </row>
    <row r="367">
      <c r="A367" s="50"/>
      <c r="B367" s="61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0"/>
      <c r="BC367" s="50"/>
      <c r="BD367" s="50"/>
      <c r="BE367" s="50"/>
      <c r="BF367" s="50"/>
      <c r="BG367" s="50"/>
      <c r="BH367" s="50"/>
      <c r="BI367" s="50"/>
      <c r="BJ367" s="50"/>
    </row>
    <row r="368">
      <c r="A368" s="50"/>
      <c r="B368" s="61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0"/>
      <c r="BE368" s="50"/>
      <c r="BF368" s="50"/>
      <c r="BG368" s="50"/>
      <c r="BH368" s="50"/>
      <c r="BI368" s="50"/>
      <c r="BJ368" s="50"/>
    </row>
    <row r="369">
      <c r="A369" s="50"/>
      <c r="B369" s="61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50"/>
      <c r="BE369" s="50"/>
      <c r="BF369" s="50"/>
      <c r="BG369" s="50"/>
      <c r="BH369" s="50"/>
      <c r="BI369" s="50"/>
      <c r="BJ369" s="50"/>
    </row>
    <row r="370">
      <c r="A370" s="50"/>
      <c r="B370" s="61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/>
      <c r="BE370" s="50"/>
      <c r="BF370" s="50"/>
      <c r="BG370" s="50"/>
      <c r="BH370" s="50"/>
      <c r="BI370" s="50"/>
      <c r="BJ370" s="50"/>
    </row>
    <row r="371">
      <c r="A371" s="50"/>
      <c r="B371" s="61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/>
      <c r="BE371" s="50"/>
      <c r="BF371" s="50"/>
      <c r="BG371" s="50"/>
      <c r="BH371" s="50"/>
      <c r="BI371" s="50"/>
      <c r="BJ371" s="50"/>
    </row>
    <row r="372">
      <c r="A372" s="50"/>
      <c r="B372" s="61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0"/>
      <c r="BC372" s="50"/>
      <c r="BD372" s="50"/>
      <c r="BE372" s="50"/>
      <c r="BF372" s="50"/>
      <c r="BG372" s="50"/>
      <c r="BH372" s="50"/>
      <c r="BI372" s="50"/>
      <c r="BJ372" s="50"/>
    </row>
    <row r="373">
      <c r="A373" s="50"/>
      <c r="B373" s="61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50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0"/>
      <c r="BE373" s="50"/>
      <c r="BF373" s="50"/>
      <c r="BG373" s="50"/>
      <c r="BH373" s="50"/>
      <c r="BI373" s="50"/>
      <c r="BJ373" s="50"/>
    </row>
    <row r="374">
      <c r="A374" s="50"/>
      <c r="B374" s="61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</row>
    <row r="375">
      <c r="A375" s="50"/>
      <c r="B375" s="61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  <c r="AQ375" s="50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0"/>
      <c r="BC375" s="50"/>
      <c r="BD375" s="50"/>
      <c r="BE375" s="50"/>
      <c r="BF375" s="50"/>
      <c r="BG375" s="50"/>
      <c r="BH375" s="50"/>
      <c r="BI375" s="50"/>
      <c r="BJ375" s="50"/>
    </row>
    <row r="376">
      <c r="A376" s="50"/>
      <c r="B376" s="61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  <c r="AQ376" s="50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0"/>
      <c r="BC376" s="50"/>
      <c r="BD376" s="50"/>
      <c r="BE376" s="50"/>
      <c r="BF376" s="50"/>
      <c r="BG376" s="50"/>
      <c r="BH376" s="50"/>
      <c r="BI376" s="50"/>
      <c r="BJ376" s="50"/>
    </row>
    <row r="377">
      <c r="A377" s="50"/>
      <c r="B377" s="61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/>
      <c r="BE377" s="50"/>
      <c r="BF377" s="50"/>
      <c r="BG377" s="50"/>
      <c r="BH377" s="50"/>
      <c r="BI377" s="50"/>
      <c r="BJ377" s="50"/>
    </row>
    <row r="378">
      <c r="A378" s="50"/>
      <c r="B378" s="61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0"/>
      <c r="BE378" s="50"/>
      <c r="BF378" s="50"/>
      <c r="BG378" s="50"/>
      <c r="BH378" s="50"/>
      <c r="BI378" s="50"/>
      <c r="BJ378" s="50"/>
    </row>
    <row r="379">
      <c r="A379" s="50"/>
      <c r="B379" s="61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50"/>
      <c r="AQ379" s="50"/>
      <c r="AR379" s="50"/>
      <c r="AS379" s="50"/>
      <c r="AT379" s="50"/>
      <c r="AU379" s="50"/>
      <c r="AV379" s="50"/>
      <c r="AW379" s="50"/>
      <c r="AX379" s="50"/>
      <c r="AY379" s="50"/>
      <c r="AZ379" s="50"/>
      <c r="BA379" s="50"/>
      <c r="BB379" s="50"/>
      <c r="BC379" s="50"/>
      <c r="BD379" s="50"/>
      <c r="BE379" s="50"/>
      <c r="BF379" s="50"/>
      <c r="BG379" s="50"/>
      <c r="BH379" s="50"/>
      <c r="BI379" s="50"/>
      <c r="BJ379" s="50"/>
    </row>
    <row r="380">
      <c r="A380" s="50"/>
      <c r="B380" s="61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50"/>
      <c r="AQ380" s="50"/>
      <c r="AR380" s="50"/>
      <c r="AS380" s="50"/>
      <c r="AT380" s="50"/>
      <c r="AU380" s="50"/>
      <c r="AV380" s="50"/>
      <c r="AW380" s="50"/>
      <c r="AX380" s="50"/>
      <c r="AY380" s="50"/>
      <c r="AZ380" s="50"/>
      <c r="BA380" s="50"/>
      <c r="BB380" s="50"/>
      <c r="BC380" s="50"/>
      <c r="BD380" s="50"/>
      <c r="BE380" s="50"/>
      <c r="BF380" s="50"/>
      <c r="BG380" s="50"/>
      <c r="BH380" s="50"/>
      <c r="BI380" s="50"/>
      <c r="BJ380" s="50"/>
    </row>
    <row r="381">
      <c r="A381" s="50"/>
      <c r="B381" s="61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50"/>
      <c r="AQ381" s="50"/>
      <c r="AR381" s="50"/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50"/>
      <c r="BE381" s="50"/>
      <c r="BF381" s="50"/>
      <c r="BG381" s="50"/>
      <c r="BH381" s="50"/>
      <c r="BI381" s="50"/>
      <c r="BJ381" s="50"/>
    </row>
    <row r="382">
      <c r="A382" s="50"/>
      <c r="B382" s="61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50"/>
      <c r="AQ382" s="50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0"/>
      <c r="BE382" s="50"/>
      <c r="BF382" s="50"/>
      <c r="BG382" s="50"/>
      <c r="BH382" s="50"/>
      <c r="BI382" s="50"/>
      <c r="BJ382" s="50"/>
    </row>
    <row r="383">
      <c r="A383" s="50"/>
      <c r="B383" s="61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/>
      <c r="BE383" s="50"/>
      <c r="BF383" s="50"/>
      <c r="BG383" s="50"/>
      <c r="BH383" s="50"/>
      <c r="BI383" s="50"/>
      <c r="BJ383" s="50"/>
    </row>
    <row r="384">
      <c r="A384" s="50"/>
      <c r="B384" s="61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50"/>
      <c r="AQ384" s="50"/>
      <c r="AR384" s="50"/>
      <c r="AS384" s="50"/>
      <c r="AT384" s="50"/>
      <c r="AU384" s="50"/>
      <c r="AV384" s="50"/>
      <c r="AW384" s="50"/>
      <c r="AX384" s="50"/>
      <c r="AY384" s="50"/>
      <c r="AZ384" s="50"/>
      <c r="BA384" s="50"/>
      <c r="BB384" s="50"/>
      <c r="BC384" s="50"/>
      <c r="BD384" s="50"/>
      <c r="BE384" s="50"/>
      <c r="BF384" s="50"/>
      <c r="BG384" s="50"/>
      <c r="BH384" s="50"/>
      <c r="BI384" s="50"/>
      <c r="BJ384" s="50"/>
    </row>
    <row r="385">
      <c r="A385" s="50"/>
      <c r="B385" s="61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0"/>
      <c r="BC385" s="50"/>
      <c r="BD385" s="50"/>
      <c r="BE385" s="50"/>
      <c r="BF385" s="50"/>
      <c r="BG385" s="50"/>
      <c r="BH385" s="50"/>
      <c r="BI385" s="50"/>
      <c r="BJ385" s="50"/>
    </row>
    <row r="386">
      <c r="A386" s="50"/>
      <c r="B386" s="61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50"/>
      <c r="BH386" s="50"/>
      <c r="BI386" s="50"/>
      <c r="BJ386" s="50"/>
    </row>
    <row r="387">
      <c r="A387" s="50"/>
      <c r="B387" s="61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/>
      <c r="BE387" s="50"/>
      <c r="BF387" s="50"/>
      <c r="BG387" s="50"/>
      <c r="BH387" s="50"/>
      <c r="BI387" s="50"/>
      <c r="BJ387" s="50"/>
    </row>
    <row r="388">
      <c r="A388" s="50"/>
      <c r="B388" s="61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/>
      <c r="BE388" s="50"/>
      <c r="BF388" s="50"/>
      <c r="BG388" s="50"/>
      <c r="BH388" s="50"/>
      <c r="BI388" s="50"/>
      <c r="BJ388" s="50"/>
    </row>
    <row r="389">
      <c r="A389" s="50"/>
      <c r="B389" s="61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50"/>
      <c r="BF389" s="50"/>
      <c r="BG389" s="50"/>
      <c r="BH389" s="50"/>
      <c r="BI389" s="50"/>
      <c r="BJ389" s="50"/>
    </row>
    <row r="390">
      <c r="A390" s="50"/>
      <c r="B390" s="61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50"/>
      <c r="BH390" s="50"/>
      <c r="BI390" s="50"/>
      <c r="BJ390" s="50"/>
    </row>
    <row r="391">
      <c r="A391" s="50"/>
      <c r="B391" s="61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/>
      <c r="BE391" s="50"/>
      <c r="BF391" s="50"/>
      <c r="BG391" s="50"/>
      <c r="BH391" s="50"/>
      <c r="BI391" s="50"/>
      <c r="BJ391" s="50"/>
    </row>
    <row r="392">
      <c r="A392" s="50"/>
      <c r="B392" s="61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0"/>
      <c r="BE392" s="50"/>
      <c r="BF392" s="50"/>
      <c r="BG392" s="50"/>
      <c r="BH392" s="50"/>
      <c r="BI392" s="50"/>
      <c r="BJ392" s="50"/>
    </row>
    <row r="393">
      <c r="A393" s="50"/>
      <c r="B393" s="61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  <c r="AQ393" s="50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0"/>
      <c r="BC393" s="50"/>
      <c r="BD393" s="50"/>
      <c r="BE393" s="50"/>
      <c r="BF393" s="50"/>
      <c r="BG393" s="50"/>
      <c r="BH393" s="50"/>
      <c r="BI393" s="50"/>
      <c r="BJ393" s="50"/>
    </row>
    <row r="394">
      <c r="A394" s="50"/>
      <c r="B394" s="61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50"/>
      <c r="AQ394" s="50"/>
      <c r="AR394" s="50"/>
      <c r="AS394" s="50"/>
      <c r="AT394" s="50"/>
      <c r="AU394" s="50"/>
      <c r="AV394" s="50"/>
      <c r="AW394" s="50"/>
      <c r="AX394" s="50"/>
      <c r="AY394" s="50"/>
      <c r="AZ394" s="50"/>
      <c r="BA394" s="50"/>
      <c r="BB394" s="50"/>
      <c r="BC394" s="50"/>
      <c r="BD394" s="50"/>
      <c r="BE394" s="50"/>
      <c r="BF394" s="50"/>
      <c r="BG394" s="50"/>
      <c r="BH394" s="50"/>
      <c r="BI394" s="50"/>
      <c r="BJ394" s="50"/>
    </row>
    <row r="395">
      <c r="A395" s="50"/>
      <c r="B395" s="61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50"/>
      <c r="AQ395" s="50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0"/>
      <c r="BC395" s="50"/>
      <c r="BD395" s="50"/>
      <c r="BE395" s="50"/>
      <c r="BF395" s="50"/>
      <c r="BG395" s="50"/>
      <c r="BH395" s="50"/>
      <c r="BI395" s="50"/>
      <c r="BJ395" s="50"/>
    </row>
    <row r="396">
      <c r="A396" s="50"/>
      <c r="B396" s="61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0"/>
      <c r="BC396" s="50"/>
      <c r="BD396" s="50"/>
      <c r="BE396" s="50"/>
      <c r="BF396" s="50"/>
      <c r="BG396" s="50"/>
      <c r="BH396" s="50"/>
      <c r="BI396" s="50"/>
      <c r="BJ396" s="50"/>
    </row>
    <row r="397">
      <c r="A397" s="50"/>
      <c r="B397" s="61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50"/>
      <c r="AQ397" s="50"/>
      <c r="AR397" s="50"/>
      <c r="AS397" s="50"/>
      <c r="AT397" s="50"/>
      <c r="AU397" s="50"/>
      <c r="AV397" s="50"/>
      <c r="AW397" s="50"/>
      <c r="AX397" s="50"/>
      <c r="AY397" s="50"/>
      <c r="AZ397" s="50"/>
      <c r="BA397" s="50"/>
      <c r="BB397" s="50"/>
      <c r="BC397" s="50"/>
      <c r="BD397" s="50"/>
      <c r="BE397" s="50"/>
      <c r="BF397" s="50"/>
      <c r="BG397" s="50"/>
      <c r="BH397" s="50"/>
      <c r="BI397" s="50"/>
      <c r="BJ397" s="50"/>
    </row>
    <row r="398">
      <c r="A398" s="50"/>
      <c r="B398" s="61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50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50"/>
      <c r="BH398" s="50"/>
      <c r="BI398" s="50"/>
      <c r="BJ398" s="50"/>
    </row>
    <row r="399">
      <c r="A399" s="50"/>
      <c r="B399" s="61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  <c r="BH399" s="50"/>
      <c r="BI399" s="50"/>
      <c r="BJ399" s="50"/>
    </row>
    <row r="400">
      <c r="A400" s="50"/>
      <c r="B400" s="61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50"/>
      <c r="AQ400" s="50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0"/>
      <c r="BC400" s="50"/>
      <c r="BD400" s="50"/>
      <c r="BE400" s="50"/>
      <c r="BF400" s="50"/>
      <c r="BG400" s="50"/>
      <c r="BH400" s="50"/>
      <c r="BI400" s="50"/>
      <c r="BJ400" s="50"/>
    </row>
    <row r="401">
      <c r="A401" s="50"/>
      <c r="B401" s="61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  <c r="BI401" s="50"/>
      <c r="BJ401" s="50"/>
    </row>
    <row r="402">
      <c r="A402" s="50"/>
      <c r="B402" s="61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0"/>
      <c r="BE402" s="50"/>
      <c r="BF402" s="50"/>
      <c r="BG402" s="50"/>
      <c r="BH402" s="50"/>
      <c r="BI402" s="50"/>
      <c r="BJ402" s="50"/>
    </row>
    <row r="403">
      <c r="A403" s="50"/>
      <c r="B403" s="61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50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50"/>
      <c r="BE403" s="50"/>
      <c r="BF403" s="50"/>
      <c r="BG403" s="50"/>
      <c r="BH403" s="50"/>
      <c r="BI403" s="50"/>
      <c r="BJ403" s="50"/>
    </row>
    <row r="404">
      <c r="A404" s="50"/>
      <c r="B404" s="61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50"/>
      <c r="AQ404" s="50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0"/>
      <c r="BC404" s="50"/>
      <c r="BD404" s="50"/>
      <c r="BE404" s="50"/>
      <c r="BF404" s="50"/>
      <c r="BG404" s="50"/>
      <c r="BH404" s="50"/>
      <c r="BI404" s="50"/>
      <c r="BJ404" s="50"/>
    </row>
    <row r="405">
      <c r="A405" s="50"/>
      <c r="B405" s="61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50"/>
      <c r="AQ405" s="50"/>
      <c r="AR405" s="50"/>
      <c r="AS405" s="50"/>
      <c r="AT405" s="50"/>
      <c r="AU405" s="50"/>
      <c r="AV405" s="50"/>
      <c r="AW405" s="50"/>
      <c r="AX405" s="50"/>
      <c r="AY405" s="50"/>
      <c r="AZ405" s="50"/>
      <c r="BA405" s="50"/>
      <c r="BB405" s="50"/>
      <c r="BC405" s="50"/>
      <c r="BD405" s="50"/>
      <c r="BE405" s="50"/>
      <c r="BF405" s="50"/>
      <c r="BG405" s="50"/>
      <c r="BH405" s="50"/>
      <c r="BI405" s="50"/>
      <c r="BJ405" s="50"/>
    </row>
    <row r="406">
      <c r="A406" s="50"/>
      <c r="B406" s="61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/>
      <c r="BE406" s="50"/>
      <c r="BF406" s="50"/>
      <c r="BG406" s="50"/>
      <c r="BH406" s="50"/>
      <c r="BI406" s="50"/>
      <c r="BJ406" s="50"/>
    </row>
    <row r="407">
      <c r="A407" s="50"/>
      <c r="B407" s="61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50"/>
      <c r="BE407" s="50"/>
      <c r="BF407" s="50"/>
      <c r="BG407" s="50"/>
      <c r="BH407" s="50"/>
      <c r="BI407" s="50"/>
      <c r="BJ407" s="50"/>
    </row>
    <row r="408">
      <c r="A408" s="50"/>
      <c r="B408" s="61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50"/>
      <c r="BE408" s="50"/>
      <c r="BF408" s="50"/>
      <c r="BG408" s="50"/>
      <c r="BH408" s="50"/>
      <c r="BI408" s="50"/>
      <c r="BJ408" s="50"/>
    </row>
    <row r="409">
      <c r="A409" s="50"/>
      <c r="B409" s="61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50"/>
      <c r="BE409" s="50"/>
      <c r="BF409" s="50"/>
      <c r="BG409" s="50"/>
      <c r="BH409" s="50"/>
      <c r="BI409" s="50"/>
      <c r="BJ409" s="50"/>
    </row>
    <row r="410">
      <c r="A410" s="50"/>
      <c r="B410" s="61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0"/>
      <c r="BE410" s="50"/>
      <c r="BF410" s="50"/>
      <c r="BG410" s="50"/>
      <c r="BH410" s="50"/>
      <c r="BI410" s="50"/>
      <c r="BJ410" s="50"/>
    </row>
    <row r="411">
      <c r="A411" s="50"/>
      <c r="B411" s="61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50"/>
      <c r="BE411" s="50"/>
      <c r="BF411" s="50"/>
      <c r="BG411" s="50"/>
      <c r="BH411" s="50"/>
      <c r="BI411" s="50"/>
      <c r="BJ411" s="50"/>
    </row>
    <row r="412">
      <c r="A412" s="50"/>
      <c r="B412" s="61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50"/>
      <c r="BE412" s="50"/>
      <c r="BF412" s="50"/>
      <c r="BG412" s="50"/>
      <c r="BH412" s="50"/>
      <c r="BI412" s="50"/>
      <c r="BJ412" s="50"/>
    </row>
    <row r="413">
      <c r="A413" s="50"/>
      <c r="B413" s="61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  <c r="AQ413" s="50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0"/>
      <c r="BE413" s="50"/>
      <c r="BF413" s="50"/>
      <c r="BG413" s="50"/>
      <c r="BH413" s="50"/>
      <c r="BI413" s="50"/>
      <c r="BJ413" s="50"/>
    </row>
    <row r="414">
      <c r="A414" s="50"/>
      <c r="B414" s="61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0"/>
      <c r="BE414" s="50"/>
      <c r="BF414" s="50"/>
      <c r="BG414" s="50"/>
      <c r="BH414" s="50"/>
      <c r="BI414" s="50"/>
      <c r="BJ414" s="50"/>
    </row>
    <row r="415">
      <c r="A415" s="50"/>
      <c r="B415" s="61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/>
      <c r="BE415" s="50"/>
      <c r="BF415" s="50"/>
      <c r="BG415" s="50"/>
      <c r="BH415" s="50"/>
      <c r="BI415" s="50"/>
      <c r="BJ415" s="50"/>
    </row>
    <row r="416">
      <c r="A416" s="50"/>
      <c r="B416" s="61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50"/>
      <c r="AQ416" s="50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0"/>
      <c r="BE416" s="50"/>
      <c r="BF416" s="50"/>
      <c r="BG416" s="50"/>
      <c r="BH416" s="50"/>
      <c r="BI416" s="50"/>
      <c r="BJ416" s="50"/>
    </row>
    <row r="417">
      <c r="A417" s="50"/>
      <c r="B417" s="61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50"/>
      <c r="AQ417" s="50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0"/>
      <c r="BC417" s="50"/>
      <c r="BD417" s="50"/>
      <c r="BE417" s="50"/>
      <c r="BF417" s="50"/>
      <c r="BG417" s="50"/>
      <c r="BH417" s="50"/>
      <c r="BI417" s="50"/>
      <c r="BJ417" s="50"/>
    </row>
    <row r="418">
      <c r="A418" s="50"/>
      <c r="B418" s="61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50"/>
      <c r="AQ418" s="50"/>
      <c r="AR418" s="50"/>
      <c r="AS418" s="50"/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0"/>
      <c r="BE418" s="50"/>
      <c r="BF418" s="50"/>
      <c r="BG418" s="50"/>
      <c r="BH418" s="50"/>
      <c r="BI418" s="50"/>
      <c r="BJ418" s="50"/>
    </row>
    <row r="419">
      <c r="A419" s="50"/>
      <c r="B419" s="61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50"/>
      <c r="AQ419" s="50"/>
      <c r="AR419" s="50"/>
      <c r="AS419" s="50"/>
      <c r="AT419" s="50"/>
      <c r="AU419" s="50"/>
      <c r="AV419" s="50"/>
      <c r="AW419" s="50"/>
      <c r="AX419" s="50"/>
      <c r="AY419" s="50"/>
      <c r="AZ419" s="50"/>
      <c r="BA419" s="50"/>
      <c r="BB419" s="50"/>
      <c r="BC419" s="50"/>
      <c r="BD419" s="50"/>
      <c r="BE419" s="50"/>
      <c r="BF419" s="50"/>
      <c r="BG419" s="50"/>
      <c r="BH419" s="50"/>
      <c r="BI419" s="50"/>
      <c r="BJ419" s="50"/>
    </row>
    <row r="420">
      <c r="A420" s="50"/>
      <c r="B420" s="61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50"/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/>
      <c r="BE420" s="50"/>
      <c r="BF420" s="50"/>
      <c r="BG420" s="50"/>
      <c r="BH420" s="50"/>
      <c r="BI420" s="50"/>
      <c r="BJ420" s="50"/>
    </row>
    <row r="421">
      <c r="A421" s="50"/>
      <c r="B421" s="61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50"/>
      <c r="BE421" s="50"/>
      <c r="BF421" s="50"/>
      <c r="BG421" s="50"/>
      <c r="BH421" s="50"/>
      <c r="BI421" s="50"/>
      <c r="BJ421" s="50"/>
    </row>
    <row r="422">
      <c r="A422" s="50"/>
      <c r="B422" s="61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  <c r="AQ422" s="50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/>
      <c r="BE422" s="50"/>
      <c r="BF422" s="50"/>
      <c r="BG422" s="50"/>
      <c r="BH422" s="50"/>
      <c r="BI422" s="50"/>
      <c r="BJ422" s="50"/>
    </row>
    <row r="423">
      <c r="A423" s="50"/>
      <c r="B423" s="61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50"/>
      <c r="BE423" s="50"/>
      <c r="BF423" s="50"/>
      <c r="BG423" s="50"/>
      <c r="BH423" s="50"/>
      <c r="BI423" s="50"/>
      <c r="BJ423" s="50"/>
    </row>
    <row r="424">
      <c r="A424" s="50"/>
      <c r="B424" s="61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  <c r="AV424" s="50"/>
      <c r="AW424" s="50"/>
      <c r="AX424" s="50"/>
      <c r="AY424" s="50"/>
      <c r="AZ424" s="50"/>
      <c r="BA424" s="50"/>
      <c r="BB424" s="50"/>
      <c r="BC424" s="50"/>
      <c r="BD424" s="50"/>
      <c r="BE424" s="50"/>
      <c r="BF424" s="50"/>
      <c r="BG424" s="50"/>
      <c r="BH424" s="50"/>
      <c r="BI424" s="50"/>
      <c r="BJ424" s="50"/>
    </row>
    <row r="425">
      <c r="A425" s="50"/>
      <c r="B425" s="61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0"/>
      <c r="BC425" s="50"/>
      <c r="BD425" s="50"/>
      <c r="BE425" s="50"/>
      <c r="BF425" s="50"/>
      <c r="BG425" s="50"/>
      <c r="BH425" s="50"/>
      <c r="BI425" s="50"/>
      <c r="BJ425" s="50"/>
    </row>
    <row r="426">
      <c r="A426" s="50"/>
      <c r="B426" s="61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0"/>
      <c r="BE426" s="50"/>
      <c r="BF426" s="50"/>
      <c r="BG426" s="50"/>
      <c r="BH426" s="50"/>
      <c r="BI426" s="50"/>
      <c r="BJ426" s="50"/>
    </row>
    <row r="427">
      <c r="A427" s="50"/>
      <c r="B427" s="61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0"/>
      <c r="BE427" s="50"/>
      <c r="BF427" s="50"/>
      <c r="BG427" s="50"/>
      <c r="BH427" s="50"/>
      <c r="BI427" s="50"/>
      <c r="BJ427" s="50"/>
    </row>
    <row r="428">
      <c r="A428" s="50"/>
      <c r="B428" s="61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  <c r="AQ428" s="50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0"/>
      <c r="BE428" s="50"/>
      <c r="BF428" s="50"/>
      <c r="BG428" s="50"/>
      <c r="BH428" s="50"/>
      <c r="BI428" s="50"/>
      <c r="BJ428" s="50"/>
    </row>
    <row r="429">
      <c r="A429" s="50"/>
      <c r="B429" s="61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50"/>
      <c r="BE429" s="50"/>
      <c r="BF429" s="50"/>
      <c r="BG429" s="50"/>
      <c r="BH429" s="50"/>
      <c r="BI429" s="50"/>
      <c r="BJ429" s="50"/>
    </row>
    <row r="430">
      <c r="A430" s="50"/>
      <c r="B430" s="61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50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0"/>
      <c r="BE430" s="50"/>
      <c r="BF430" s="50"/>
      <c r="BG430" s="50"/>
      <c r="BH430" s="50"/>
      <c r="BI430" s="50"/>
      <c r="BJ430" s="50"/>
    </row>
    <row r="431">
      <c r="A431" s="50"/>
      <c r="B431" s="61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0"/>
      <c r="BE431" s="50"/>
      <c r="BF431" s="50"/>
      <c r="BG431" s="50"/>
      <c r="BH431" s="50"/>
      <c r="BI431" s="50"/>
      <c r="BJ431" s="50"/>
    </row>
    <row r="432">
      <c r="A432" s="50"/>
      <c r="B432" s="61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50"/>
      <c r="AQ432" s="50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0"/>
      <c r="BC432" s="50"/>
      <c r="BD432" s="50"/>
      <c r="BE432" s="50"/>
      <c r="BF432" s="50"/>
      <c r="BG432" s="50"/>
      <c r="BH432" s="50"/>
      <c r="BI432" s="50"/>
      <c r="BJ432" s="50"/>
    </row>
    <row r="433">
      <c r="A433" s="50"/>
      <c r="B433" s="61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50"/>
      <c r="AQ433" s="50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0"/>
      <c r="BC433" s="50"/>
      <c r="BD433" s="50"/>
      <c r="BE433" s="50"/>
      <c r="BF433" s="50"/>
      <c r="BG433" s="50"/>
      <c r="BH433" s="50"/>
      <c r="BI433" s="50"/>
      <c r="BJ433" s="50"/>
    </row>
    <row r="434">
      <c r="A434" s="50"/>
      <c r="B434" s="61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0"/>
      <c r="BF434" s="50"/>
      <c r="BG434" s="50"/>
      <c r="BH434" s="50"/>
      <c r="BI434" s="50"/>
      <c r="BJ434" s="50"/>
    </row>
    <row r="435">
      <c r="A435" s="50"/>
      <c r="B435" s="61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50"/>
      <c r="AQ435" s="50"/>
      <c r="AR435" s="50"/>
      <c r="AS435" s="50"/>
      <c r="AT435" s="50"/>
      <c r="AU435" s="50"/>
      <c r="AV435" s="50"/>
      <c r="AW435" s="50"/>
      <c r="AX435" s="50"/>
      <c r="AY435" s="50"/>
      <c r="AZ435" s="50"/>
      <c r="BA435" s="50"/>
      <c r="BB435" s="50"/>
      <c r="BC435" s="50"/>
      <c r="BD435" s="50"/>
      <c r="BE435" s="50"/>
      <c r="BF435" s="50"/>
      <c r="BG435" s="50"/>
      <c r="BH435" s="50"/>
      <c r="BI435" s="50"/>
      <c r="BJ435" s="50"/>
    </row>
    <row r="436">
      <c r="A436" s="50"/>
      <c r="B436" s="61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50"/>
      <c r="AQ436" s="50"/>
      <c r="AR436" s="50"/>
      <c r="AS436" s="50"/>
      <c r="AT436" s="50"/>
      <c r="AU436" s="50"/>
      <c r="AV436" s="50"/>
      <c r="AW436" s="50"/>
      <c r="AX436" s="50"/>
      <c r="AY436" s="50"/>
      <c r="AZ436" s="50"/>
      <c r="BA436" s="50"/>
      <c r="BB436" s="50"/>
      <c r="BC436" s="50"/>
      <c r="BD436" s="50"/>
      <c r="BE436" s="50"/>
      <c r="BF436" s="50"/>
      <c r="BG436" s="50"/>
      <c r="BH436" s="50"/>
      <c r="BI436" s="50"/>
      <c r="BJ436" s="50"/>
    </row>
    <row r="437">
      <c r="A437" s="50"/>
      <c r="B437" s="61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50"/>
      <c r="AQ437" s="50"/>
      <c r="AR437" s="50"/>
      <c r="AS437" s="50"/>
      <c r="AT437" s="50"/>
      <c r="AU437" s="50"/>
      <c r="AV437" s="50"/>
      <c r="AW437" s="50"/>
      <c r="AX437" s="50"/>
      <c r="AY437" s="50"/>
      <c r="AZ437" s="50"/>
      <c r="BA437" s="50"/>
      <c r="BB437" s="50"/>
      <c r="BC437" s="50"/>
      <c r="BD437" s="50"/>
      <c r="BE437" s="50"/>
      <c r="BF437" s="50"/>
      <c r="BG437" s="50"/>
      <c r="BH437" s="50"/>
      <c r="BI437" s="50"/>
      <c r="BJ437" s="50"/>
    </row>
    <row r="438">
      <c r="A438" s="50"/>
      <c r="B438" s="61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50"/>
      <c r="BE438" s="50"/>
      <c r="BF438" s="50"/>
      <c r="BG438" s="50"/>
      <c r="BH438" s="50"/>
      <c r="BI438" s="50"/>
      <c r="BJ438" s="50"/>
    </row>
    <row r="439">
      <c r="A439" s="50"/>
      <c r="B439" s="61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50"/>
      <c r="BE439" s="50"/>
      <c r="BF439" s="50"/>
      <c r="BG439" s="50"/>
      <c r="BH439" s="50"/>
      <c r="BI439" s="50"/>
      <c r="BJ439" s="50"/>
    </row>
    <row r="440">
      <c r="A440" s="50"/>
      <c r="B440" s="61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50"/>
      <c r="AQ440" s="50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0"/>
      <c r="BE440" s="50"/>
      <c r="BF440" s="50"/>
      <c r="BG440" s="50"/>
      <c r="BH440" s="50"/>
      <c r="BI440" s="50"/>
      <c r="BJ440" s="50"/>
    </row>
    <row r="441">
      <c r="A441" s="50"/>
      <c r="B441" s="61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50"/>
      <c r="AQ441" s="50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50"/>
      <c r="BE441" s="50"/>
      <c r="BF441" s="50"/>
      <c r="BG441" s="50"/>
      <c r="BH441" s="50"/>
      <c r="BI441" s="50"/>
      <c r="BJ441" s="50"/>
    </row>
    <row r="442">
      <c r="A442" s="50"/>
      <c r="B442" s="61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0"/>
      <c r="BE442" s="50"/>
      <c r="BF442" s="50"/>
      <c r="BG442" s="50"/>
      <c r="BH442" s="50"/>
      <c r="BI442" s="50"/>
      <c r="BJ442" s="50"/>
    </row>
    <row r="443">
      <c r="A443" s="50"/>
      <c r="B443" s="61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0"/>
      <c r="BE443" s="50"/>
      <c r="BF443" s="50"/>
      <c r="BG443" s="50"/>
      <c r="BH443" s="50"/>
      <c r="BI443" s="50"/>
      <c r="BJ443" s="50"/>
    </row>
    <row r="444">
      <c r="A444" s="50"/>
      <c r="B444" s="61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50"/>
      <c r="BE444" s="50"/>
      <c r="BF444" s="50"/>
      <c r="BG444" s="50"/>
      <c r="BH444" s="50"/>
      <c r="BI444" s="50"/>
      <c r="BJ444" s="50"/>
    </row>
    <row r="445">
      <c r="A445" s="50"/>
      <c r="B445" s="61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50"/>
      <c r="BE445" s="50"/>
      <c r="BF445" s="50"/>
      <c r="BG445" s="50"/>
      <c r="BH445" s="50"/>
      <c r="BI445" s="50"/>
      <c r="BJ445" s="50"/>
    </row>
    <row r="446">
      <c r="A446" s="50"/>
      <c r="B446" s="61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  <c r="AQ446" s="50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/>
      <c r="BE446" s="50"/>
      <c r="BF446" s="50"/>
      <c r="BG446" s="50"/>
      <c r="BH446" s="50"/>
      <c r="BI446" s="50"/>
      <c r="BJ446" s="50"/>
    </row>
    <row r="447">
      <c r="A447" s="50"/>
      <c r="B447" s="61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50"/>
      <c r="AQ447" s="50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0"/>
      <c r="BC447" s="50"/>
      <c r="BD447" s="50"/>
      <c r="BE447" s="50"/>
      <c r="BF447" s="50"/>
      <c r="BG447" s="50"/>
      <c r="BH447" s="50"/>
      <c r="BI447" s="50"/>
      <c r="BJ447" s="50"/>
    </row>
    <row r="448">
      <c r="A448" s="50"/>
      <c r="B448" s="61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  <c r="AQ448" s="50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0"/>
      <c r="BC448" s="50"/>
      <c r="BD448" s="50"/>
      <c r="BE448" s="50"/>
      <c r="BF448" s="50"/>
      <c r="BG448" s="50"/>
      <c r="BH448" s="50"/>
      <c r="BI448" s="50"/>
      <c r="BJ448" s="50"/>
    </row>
    <row r="449">
      <c r="A449" s="50"/>
      <c r="B449" s="61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50"/>
      <c r="AQ449" s="50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0"/>
      <c r="BC449" s="50"/>
      <c r="BD449" s="50"/>
      <c r="BE449" s="50"/>
      <c r="BF449" s="50"/>
      <c r="BG449" s="50"/>
      <c r="BH449" s="50"/>
      <c r="BI449" s="50"/>
      <c r="BJ449" s="50"/>
    </row>
    <row r="450">
      <c r="A450" s="50"/>
      <c r="B450" s="61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50"/>
      <c r="AQ450" s="50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0"/>
      <c r="BE450" s="50"/>
      <c r="BF450" s="50"/>
      <c r="BG450" s="50"/>
      <c r="BH450" s="50"/>
      <c r="BI450" s="50"/>
      <c r="BJ450" s="50"/>
    </row>
    <row r="451">
      <c r="A451" s="50"/>
      <c r="B451" s="61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50"/>
      <c r="AQ451" s="50"/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0"/>
      <c r="BC451" s="50"/>
      <c r="BD451" s="50"/>
      <c r="BE451" s="50"/>
      <c r="BF451" s="50"/>
      <c r="BG451" s="50"/>
      <c r="BH451" s="50"/>
      <c r="BI451" s="50"/>
      <c r="BJ451" s="50"/>
    </row>
    <row r="452">
      <c r="A452" s="50"/>
      <c r="B452" s="61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  <c r="AL452" s="50"/>
      <c r="AM452" s="50"/>
      <c r="AN452" s="50"/>
      <c r="AO452" s="50"/>
      <c r="AP452" s="50"/>
      <c r="AQ452" s="50"/>
      <c r="AR452" s="50"/>
      <c r="AS452" s="50"/>
      <c r="AT452" s="50"/>
      <c r="AU452" s="50"/>
      <c r="AV452" s="50"/>
      <c r="AW452" s="50"/>
      <c r="AX452" s="50"/>
      <c r="AY452" s="50"/>
      <c r="AZ452" s="50"/>
      <c r="BA452" s="50"/>
      <c r="BB452" s="50"/>
      <c r="BC452" s="50"/>
      <c r="BD452" s="50"/>
      <c r="BE452" s="50"/>
      <c r="BF452" s="50"/>
      <c r="BG452" s="50"/>
      <c r="BH452" s="50"/>
      <c r="BI452" s="50"/>
      <c r="BJ452" s="50"/>
    </row>
    <row r="453">
      <c r="A453" s="50"/>
      <c r="B453" s="61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  <c r="AN453" s="50"/>
      <c r="AO453" s="50"/>
      <c r="AP453" s="50"/>
      <c r="AQ453" s="50"/>
      <c r="AR453" s="50"/>
      <c r="AS453" s="50"/>
      <c r="AT453" s="50"/>
      <c r="AU453" s="50"/>
      <c r="AV453" s="50"/>
      <c r="AW453" s="50"/>
      <c r="AX453" s="50"/>
      <c r="AY453" s="50"/>
      <c r="AZ453" s="50"/>
      <c r="BA453" s="50"/>
      <c r="BB453" s="50"/>
      <c r="BC453" s="50"/>
      <c r="BD453" s="50"/>
      <c r="BE453" s="50"/>
      <c r="BF453" s="50"/>
      <c r="BG453" s="50"/>
      <c r="BH453" s="50"/>
      <c r="BI453" s="50"/>
      <c r="BJ453" s="50"/>
    </row>
    <row r="454">
      <c r="A454" s="50"/>
      <c r="B454" s="61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  <c r="AL454" s="50"/>
      <c r="AM454" s="50"/>
      <c r="AN454" s="50"/>
      <c r="AO454" s="50"/>
      <c r="AP454" s="50"/>
      <c r="AQ454" s="50"/>
      <c r="AR454" s="50"/>
      <c r="AS454" s="50"/>
      <c r="AT454" s="50"/>
      <c r="AU454" s="50"/>
      <c r="AV454" s="50"/>
      <c r="AW454" s="50"/>
      <c r="AX454" s="50"/>
      <c r="AY454" s="50"/>
      <c r="AZ454" s="50"/>
      <c r="BA454" s="50"/>
      <c r="BB454" s="50"/>
      <c r="BC454" s="50"/>
      <c r="BD454" s="50"/>
      <c r="BE454" s="50"/>
      <c r="BF454" s="50"/>
      <c r="BG454" s="50"/>
      <c r="BH454" s="50"/>
      <c r="BI454" s="50"/>
      <c r="BJ454" s="50"/>
    </row>
    <row r="455">
      <c r="A455" s="50"/>
      <c r="B455" s="61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0"/>
      <c r="BE455" s="50"/>
      <c r="BF455" s="50"/>
      <c r="BG455" s="50"/>
      <c r="BH455" s="50"/>
      <c r="BI455" s="50"/>
      <c r="BJ455" s="50"/>
    </row>
    <row r="456">
      <c r="A456" s="50"/>
      <c r="B456" s="61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50"/>
      <c r="BE456" s="50"/>
      <c r="BF456" s="50"/>
      <c r="BG456" s="50"/>
      <c r="BH456" s="50"/>
      <c r="BI456" s="50"/>
      <c r="BJ456" s="50"/>
    </row>
    <row r="457">
      <c r="A457" s="50"/>
      <c r="B457" s="61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50"/>
      <c r="AL457" s="50"/>
      <c r="AM457" s="50"/>
      <c r="AN457" s="50"/>
      <c r="AO457" s="50"/>
      <c r="AP457" s="50"/>
      <c r="AQ457" s="50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0"/>
      <c r="BC457" s="50"/>
      <c r="BD457" s="50"/>
      <c r="BE457" s="50"/>
      <c r="BF457" s="50"/>
      <c r="BG457" s="50"/>
      <c r="BH457" s="50"/>
      <c r="BI457" s="50"/>
      <c r="BJ457" s="50"/>
    </row>
    <row r="458">
      <c r="A458" s="50"/>
      <c r="B458" s="61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0"/>
      <c r="BE458" s="50"/>
      <c r="BF458" s="50"/>
      <c r="BG458" s="50"/>
      <c r="BH458" s="50"/>
      <c r="BI458" s="50"/>
      <c r="BJ458" s="50"/>
    </row>
    <row r="459">
      <c r="A459" s="50"/>
      <c r="B459" s="61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0"/>
      <c r="BE459" s="50"/>
      <c r="BF459" s="50"/>
      <c r="BG459" s="50"/>
      <c r="BH459" s="50"/>
      <c r="BI459" s="50"/>
      <c r="BJ459" s="50"/>
    </row>
    <row r="460">
      <c r="A460" s="50"/>
      <c r="B460" s="61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0"/>
      <c r="BC460" s="50"/>
      <c r="BD460" s="50"/>
      <c r="BE460" s="50"/>
      <c r="BF460" s="50"/>
      <c r="BG460" s="50"/>
      <c r="BH460" s="50"/>
      <c r="BI460" s="50"/>
      <c r="BJ460" s="50"/>
    </row>
    <row r="461">
      <c r="A461" s="50"/>
      <c r="B461" s="61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  <c r="AQ461" s="50"/>
      <c r="AR461" s="50"/>
      <c r="AS461" s="50"/>
      <c r="AT461" s="50"/>
      <c r="AU461" s="50"/>
      <c r="AV461" s="50"/>
      <c r="AW461" s="50"/>
      <c r="AX461" s="50"/>
      <c r="AY461" s="50"/>
      <c r="AZ461" s="50"/>
      <c r="BA461" s="50"/>
      <c r="BB461" s="50"/>
      <c r="BC461" s="50"/>
      <c r="BD461" s="50"/>
      <c r="BE461" s="50"/>
      <c r="BF461" s="50"/>
      <c r="BG461" s="50"/>
      <c r="BH461" s="50"/>
      <c r="BI461" s="50"/>
      <c r="BJ461" s="50"/>
    </row>
    <row r="462">
      <c r="A462" s="50"/>
      <c r="B462" s="61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50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0"/>
      <c r="BE462" s="50"/>
      <c r="BF462" s="50"/>
      <c r="BG462" s="50"/>
      <c r="BH462" s="50"/>
      <c r="BI462" s="50"/>
      <c r="BJ462" s="50"/>
    </row>
    <row r="463">
      <c r="A463" s="50"/>
      <c r="B463" s="61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50"/>
      <c r="AL463" s="50"/>
      <c r="AM463" s="50"/>
      <c r="AN463" s="50"/>
      <c r="AO463" s="50"/>
      <c r="AP463" s="50"/>
      <c r="AQ463" s="50"/>
      <c r="AR463" s="50"/>
      <c r="AS463" s="50"/>
      <c r="AT463" s="50"/>
      <c r="AU463" s="50"/>
      <c r="AV463" s="50"/>
      <c r="AW463" s="50"/>
      <c r="AX463" s="50"/>
      <c r="AY463" s="50"/>
      <c r="AZ463" s="50"/>
      <c r="BA463" s="50"/>
      <c r="BB463" s="50"/>
      <c r="BC463" s="50"/>
      <c r="BD463" s="50"/>
      <c r="BE463" s="50"/>
      <c r="BF463" s="50"/>
      <c r="BG463" s="50"/>
      <c r="BH463" s="50"/>
      <c r="BI463" s="50"/>
      <c r="BJ463" s="50"/>
    </row>
    <row r="464">
      <c r="A464" s="50"/>
      <c r="B464" s="61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50"/>
      <c r="AL464" s="50"/>
      <c r="AM464" s="50"/>
      <c r="AN464" s="50"/>
      <c r="AO464" s="50"/>
      <c r="AP464" s="50"/>
      <c r="AQ464" s="50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0"/>
      <c r="BC464" s="50"/>
      <c r="BD464" s="50"/>
      <c r="BE464" s="50"/>
      <c r="BF464" s="50"/>
      <c r="BG464" s="50"/>
      <c r="BH464" s="50"/>
      <c r="BI464" s="50"/>
      <c r="BJ464" s="50"/>
    </row>
    <row r="465">
      <c r="A465" s="50"/>
      <c r="B465" s="61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50"/>
      <c r="BE465" s="50"/>
      <c r="BF465" s="50"/>
      <c r="BG465" s="50"/>
      <c r="BH465" s="50"/>
      <c r="BI465" s="50"/>
      <c r="BJ465" s="50"/>
    </row>
    <row r="466">
      <c r="A466" s="50"/>
      <c r="B466" s="61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  <c r="AL466" s="50"/>
      <c r="AM466" s="50"/>
      <c r="AN466" s="50"/>
      <c r="AO466" s="50"/>
      <c r="AP466" s="50"/>
      <c r="AQ466" s="50"/>
      <c r="AR466" s="50"/>
      <c r="AS466" s="50"/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0"/>
      <c r="BE466" s="50"/>
      <c r="BF466" s="50"/>
      <c r="BG466" s="50"/>
      <c r="BH466" s="50"/>
      <c r="BI466" s="50"/>
      <c r="BJ466" s="50"/>
    </row>
    <row r="467">
      <c r="A467" s="50"/>
      <c r="B467" s="61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/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0"/>
      <c r="BC467" s="50"/>
      <c r="BD467" s="50"/>
      <c r="BE467" s="50"/>
      <c r="BF467" s="50"/>
      <c r="BG467" s="50"/>
      <c r="BH467" s="50"/>
      <c r="BI467" s="50"/>
      <c r="BJ467" s="50"/>
    </row>
    <row r="468">
      <c r="A468" s="50"/>
      <c r="B468" s="61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50"/>
      <c r="AL468" s="50"/>
      <c r="AM468" s="50"/>
      <c r="AN468" s="50"/>
      <c r="AO468" s="50"/>
      <c r="AP468" s="50"/>
      <c r="AQ468" s="50"/>
      <c r="AR468" s="50"/>
      <c r="AS468" s="50"/>
      <c r="AT468" s="50"/>
      <c r="AU468" s="50"/>
      <c r="AV468" s="50"/>
      <c r="AW468" s="50"/>
      <c r="AX468" s="50"/>
      <c r="AY468" s="50"/>
      <c r="AZ468" s="50"/>
      <c r="BA468" s="50"/>
      <c r="BB468" s="50"/>
      <c r="BC468" s="50"/>
      <c r="BD468" s="50"/>
      <c r="BE468" s="50"/>
      <c r="BF468" s="50"/>
      <c r="BG468" s="50"/>
      <c r="BH468" s="50"/>
      <c r="BI468" s="50"/>
      <c r="BJ468" s="50"/>
    </row>
    <row r="469">
      <c r="A469" s="50"/>
      <c r="B469" s="61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/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0"/>
      <c r="BC469" s="50"/>
      <c r="BD469" s="50"/>
      <c r="BE469" s="50"/>
      <c r="BF469" s="50"/>
      <c r="BG469" s="50"/>
      <c r="BH469" s="50"/>
      <c r="BI469" s="50"/>
      <c r="BJ469" s="50"/>
    </row>
    <row r="470">
      <c r="A470" s="50"/>
      <c r="B470" s="61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50"/>
      <c r="AL470" s="50"/>
      <c r="AM470" s="50"/>
      <c r="AN470" s="50"/>
      <c r="AO470" s="50"/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0"/>
      <c r="BE470" s="50"/>
      <c r="BF470" s="50"/>
      <c r="BG470" s="50"/>
      <c r="BH470" s="50"/>
      <c r="BI470" s="50"/>
      <c r="BJ470" s="50"/>
    </row>
    <row r="471">
      <c r="A471" s="50"/>
      <c r="B471" s="61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  <c r="AJ471" s="50"/>
      <c r="AK471" s="50"/>
      <c r="AL471" s="50"/>
      <c r="AM471" s="50"/>
      <c r="AN471" s="50"/>
      <c r="AO471" s="50"/>
      <c r="AP471" s="50"/>
      <c r="AQ471" s="50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0"/>
      <c r="BC471" s="50"/>
      <c r="BD471" s="50"/>
      <c r="BE471" s="50"/>
      <c r="BF471" s="50"/>
      <c r="BG471" s="50"/>
      <c r="BH471" s="50"/>
      <c r="BI471" s="50"/>
      <c r="BJ471" s="50"/>
    </row>
    <row r="472">
      <c r="A472" s="50"/>
      <c r="B472" s="61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  <c r="AJ472" s="50"/>
      <c r="AK472" s="50"/>
      <c r="AL472" s="50"/>
      <c r="AM472" s="50"/>
      <c r="AN472" s="50"/>
      <c r="AO472" s="50"/>
      <c r="AP472" s="50"/>
      <c r="AQ472" s="50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0"/>
      <c r="BC472" s="50"/>
      <c r="BD472" s="50"/>
      <c r="BE472" s="50"/>
      <c r="BF472" s="50"/>
      <c r="BG472" s="50"/>
      <c r="BH472" s="50"/>
      <c r="BI472" s="50"/>
      <c r="BJ472" s="50"/>
    </row>
    <row r="473">
      <c r="A473" s="50"/>
      <c r="B473" s="61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50"/>
      <c r="AL473" s="50"/>
      <c r="AM473" s="50"/>
      <c r="AN473" s="50"/>
      <c r="AO473" s="50"/>
      <c r="AP473" s="50"/>
      <c r="AQ473" s="50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0"/>
      <c r="BC473" s="50"/>
      <c r="BD473" s="50"/>
      <c r="BE473" s="50"/>
      <c r="BF473" s="50"/>
      <c r="BG473" s="50"/>
      <c r="BH473" s="50"/>
      <c r="BI473" s="50"/>
      <c r="BJ473" s="50"/>
    </row>
    <row r="474">
      <c r="A474" s="50"/>
      <c r="B474" s="61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  <c r="AJ474" s="50"/>
      <c r="AK474" s="50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0"/>
      <c r="BE474" s="50"/>
      <c r="BF474" s="50"/>
      <c r="BG474" s="50"/>
      <c r="BH474" s="50"/>
      <c r="BI474" s="50"/>
      <c r="BJ474" s="50"/>
    </row>
    <row r="475">
      <c r="A475" s="50"/>
      <c r="B475" s="61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50"/>
      <c r="AL475" s="50"/>
      <c r="AM475" s="50"/>
      <c r="AN475" s="50"/>
      <c r="AO475" s="50"/>
      <c r="AP475" s="50"/>
      <c r="AQ475" s="50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0"/>
      <c r="BC475" s="50"/>
      <c r="BD475" s="50"/>
      <c r="BE475" s="50"/>
      <c r="BF475" s="50"/>
      <c r="BG475" s="50"/>
      <c r="BH475" s="50"/>
      <c r="BI475" s="50"/>
      <c r="BJ475" s="50"/>
    </row>
    <row r="476">
      <c r="A476" s="50"/>
      <c r="B476" s="61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50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/>
      <c r="BE476" s="50"/>
      <c r="BF476" s="50"/>
      <c r="BG476" s="50"/>
      <c r="BH476" s="50"/>
      <c r="BI476" s="50"/>
      <c r="BJ476" s="50"/>
    </row>
    <row r="477">
      <c r="A477" s="50"/>
      <c r="B477" s="61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  <c r="AJ477" s="50"/>
      <c r="AK477" s="50"/>
      <c r="AL477" s="50"/>
      <c r="AM477" s="50"/>
      <c r="AN477" s="50"/>
      <c r="AO477" s="50"/>
      <c r="AP477" s="50"/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0"/>
      <c r="BE477" s="50"/>
      <c r="BF477" s="50"/>
      <c r="BG477" s="50"/>
      <c r="BH477" s="50"/>
      <c r="BI477" s="50"/>
      <c r="BJ477" s="50"/>
    </row>
    <row r="478">
      <c r="A478" s="50"/>
      <c r="B478" s="61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0"/>
      <c r="BE478" s="50"/>
      <c r="BF478" s="50"/>
      <c r="BG478" s="50"/>
      <c r="BH478" s="50"/>
      <c r="BI478" s="50"/>
      <c r="BJ478" s="50"/>
    </row>
    <row r="479">
      <c r="A479" s="50"/>
      <c r="B479" s="61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50"/>
      <c r="BE479" s="50"/>
      <c r="BF479" s="50"/>
      <c r="BG479" s="50"/>
      <c r="BH479" s="50"/>
      <c r="BI479" s="50"/>
      <c r="BJ479" s="50"/>
    </row>
    <row r="480">
      <c r="A480" s="50"/>
      <c r="B480" s="61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0"/>
      <c r="BC480" s="50"/>
      <c r="BD480" s="50"/>
      <c r="BE480" s="50"/>
      <c r="BF480" s="50"/>
      <c r="BG480" s="50"/>
      <c r="BH480" s="50"/>
      <c r="BI480" s="50"/>
      <c r="BJ480" s="50"/>
    </row>
    <row r="481">
      <c r="A481" s="50"/>
      <c r="B481" s="61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  <c r="AJ481" s="50"/>
      <c r="AK481" s="50"/>
      <c r="AL481" s="50"/>
      <c r="AM481" s="50"/>
      <c r="AN481" s="50"/>
      <c r="AO481" s="50"/>
      <c r="AP481" s="50"/>
      <c r="AQ481" s="50"/>
      <c r="AR481" s="50"/>
      <c r="AS481" s="50"/>
      <c r="AT481" s="50"/>
      <c r="AU481" s="50"/>
      <c r="AV481" s="50"/>
      <c r="AW481" s="50"/>
      <c r="AX481" s="50"/>
      <c r="AY481" s="50"/>
      <c r="AZ481" s="50"/>
      <c r="BA481" s="50"/>
      <c r="BB481" s="50"/>
      <c r="BC481" s="50"/>
      <c r="BD481" s="50"/>
      <c r="BE481" s="50"/>
      <c r="BF481" s="50"/>
      <c r="BG481" s="50"/>
      <c r="BH481" s="50"/>
      <c r="BI481" s="50"/>
      <c r="BJ481" s="50"/>
    </row>
    <row r="482">
      <c r="A482" s="50"/>
      <c r="B482" s="61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50"/>
      <c r="AL482" s="50"/>
      <c r="AM482" s="50"/>
      <c r="AN482" s="50"/>
      <c r="AO482" s="50"/>
      <c r="AP482" s="50"/>
      <c r="AQ482" s="50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/>
      <c r="BE482" s="50"/>
      <c r="BF482" s="50"/>
      <c r="BG482" s="50"/>
      <c r="BH482" s="50"/>
      <c r="BI482" s="50"/>
      <c r="BJ482" s="50"/>
    </row>
    <row r="483">
      <c r="A483" s="50"/>
      <c r="B483" s="61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50"/>
      <c r="AN483" s="50"/>
      <c r="AO483" s="50"/>
      <c r="AP483" s="50"/>
      <c r="AQ483" s="50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50"/>
      <c r="BE483" s="50"/>
      <c r="BF483" s="50"/>
      <c r="BG483" s="50"/>
      <c r="BH483" s="50"/>
      <c r="BI483" s="50"/>
      <c r="BJ483" s="50"/>
    </row>
    <row r="484">
      <c r="A484" s="50"/>
      <c r="B484" s="61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50"/>
      <c r="AL484" s="50"/>
      <c r="AM484" s="50"/>
      <c r="AN484" s="50"/>
      <c r="AO484" s="50"/>
      <c r="AP484" s="50"/>
      <c r="AQ484" s="50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50"/>
      <c r="BE484" s="50"/>
      <c r="BF484" s="50"/>
      <c r="BG484" s="50"/>
      <c r="BH484" s="50"/>
      <c r="BI484" s="50"/>
      <c r="BJ484" s="50"/>
    </row>
    <row r="485">
      <c r="A485" s="50"/>
      <c r="B485" s="61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50"/>
      <c r="AL485" s="50"/>
      <c r="AM485" s="50"/>
      <c r="AN485" s="50"/>
      <c r="AO485" s="50"/>
      <c r="AP485" s="50"/>
      <c r="AQ485" s="50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0"/>
      <c r="BE485" s="50"/>
      <c r="BF485" s="50"/>
      <c r="BG485" s="50"/>
      <c r="BH485" s="50"/>
      <c r="BI485" s="50"/>
      <c r="BJ485" s="50"/>
    </row>
    <row r="486">
      <c r="A486" s="50"/>
      <c r="B486" s="61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  <c r="AJ486" s="50"/>
      <c r="AK486" s="50"/>
      <c r="AL486" s="50"/>
      <c r="AM486" s="50"/>
      <c r="AN486" s="50"/>
      <c r="AO486" s="50"/>
      <c r="AP486" s="50"/>
      <c r="AQ486" s="50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0"/>
      <c r="BE486" s="50"/>
      <c r="BF486" s="50"/>
      <c r="BG486" s="50"/>
      <c r="BH486" s="50"/>
      <c r="BI486" s="50"/>
      <c r="BJ486" s="50"/>
    </row>
    <row r="487">
      <c r="A487" s="50"/>
      <c r="B487" s="61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  <c r="AJ487" s="50"/>
      <c r="AK487" s="50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50"/>
      <c r="BE487" s="50"/>
      <c r="BF487" s="50"/>
      <c r="BG487" s="50"/>
      <c r="BH487" s="50"/>
      <c r="BI487" s="50"/>
      <c r="BJ487" s="50"/>
    </row>
    <row r="488">
      <c r="A488" s="50"/>
      <c r="B488" s="61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  <c r="AL488" s="50"/>
      <c r="AM488" s="50"/>
      <c r="AN488" s="50"/>
      <c r="AO488" s="50"/>
      <c r="AP488" s="50"/>
      <c r="AQ488" s="50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0"/>
      <c r="BE488" s="50"/>
      <c r="BF488" s="50"/>
      <c r="BG488" s="50"/>
      <c r="BH488" s="50"/>
      <c r="BI488" s="50"/>
      <c r="BJ488" s="50"/>
    </row>
    <row r="489">
      <c r="A489" s="50"/>
      <c r="B489" s="61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  <c r="AJ489" s="50"/>
      <c r="AK489" s="50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50"/>
      <c r="BE489" s="50"/>
      <c r="BF489" s="50"/>
      <c r="BG489" s="50"/>
      <c r="BH489" s="50"/>
      <c r="BI489" s="50"/>
      <c r="BJ489" s="50"/>
    </row>
    <row r="490">
      <c r="A490" s="50"/>
      <c r="B490" s="61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  <c r="AJ490" s="50"/>
      <c r="AK490" s="50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/>
      <c r="BE490" s="50"/>
      <c r="BF490" s="50"/>
      <c r="BG490" s="50"/>
      <c r="BH490" s="50"/>
      <c r="BI490" s="50"/>
      <c r="BJ490" s="50"/>
    </row>
    <row r="491">
      <c r="A491" s="50"/>
      <c r="B491" s="61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  <c r="AJ491" s="50"/>
      <c r="AK491" s="50"/>
      <c r="AL491" s="50"/>
      <c r="AM491" s="50"/>
      <c r="AN491" s="50"/>
      <c r="AO491" s="50"/>
      <c r="AP491" s="50"/>
      <c r="AQ491" s="50"/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0"/>
      <c r="BE491" s="50"/>
      <c r="BF491" s="50"/>
      <c r="BG491" s="50"/>
      <c r="BH491" s="50"/>
      <c r="BI491" s="50"/>
      <c r="BJ491" s="50"/>
    </row>
    <row r="492">
      <c r="A492" s="50"/>
      <c r="B492" s="61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50"/>
      <c r="BE492" s="50"/>
      <c r="BF492" s="50"/>
      <c r="BG492" s="50"/>
      <c r="BH492" s="50"/>
      <c r="BI492" s="50"/>
      <c r="BJ492" s="50"/>
    </row>
    <row r="493">
      <c r="A493" s="50"/>
      <c r="B493" s="61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50"/>
      <c r="BE493" s="50"/>
      <c r="BF493" s="50"/>
      <c r="BG493" s="50"/>
      <c r="BH493" s="50"/>
      <c r="BI493" s="50"/>
      <c r="BJ493" s="50"/>
    </row>
    <row r="494">
      <c r="A494" s="50"/>
      <c r="B494" s="61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0"/>
      <c r="BE494" s="50"/>
      <c r="BF494" s="50"/>
      <c r="BG494" s="50"/>
      <c r="BH494" s="50"/>
      <c r="BI494" s="50"/>
      <c r="BJ494" s="50"/>
    </row>
    <row r="495">
      <c r="A495" s="50"/>
      <c r="B495" s="61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  <c r="AL495" s="50"/>
      <c r="AM495" s="50"/>
      <c r="AN495" s="50"/>
      <c r="AO495" s="50"/>
      <c r="AP495" s="50"/>
      <c r="AQ495" s="50"/>
      <c r="AR495" s="50"/>
      <c r="AS495" s="50"/>
      <c r="AT495" s="50"/>
      <c r="AU495" s="50"/>
      <c r="AV495" s="50"/>
      <c r="AW495" s="50"/>
      <c r="AX495" s="50"/>
      <c r="AY495" s="50"/>
      <c r="AZ495" s="50"/>
      <c r="BA495" s="50"/>
      <c r="BB495" s="50"/>
      <c r="BC495" s="50"/>
      <c r="BD495" s="50"/>
      <c r="BE495" s="50"/>
      <c r="BF495" s="50"/>
      <c r="BG495" s="50"/>
      <c r="BH495" s="50"/>
      <c r="BI495" s="50"/>
      <c r="BJ495" s="50"/>
    </row>
    <row r="496">
      <c r="A496" s="50"/>
      <c r="B496" s="61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  <c r="AR496" s="50"/>
      <c r="AS496" s="50"/>
      <c r="AT496" s="50"/>
      <c r="AU496" s="50"/>
      <c r="AV496" s="50"/>
      <c r="AW496" s="50"/>
      <c r="AX496" s="50"/>
      <c r="AY496" s="50"/>
      <c r="AZ496" s="50"/>
      <c r="BA496" s="50"/>
      <c r="BB496" s="50"/>
      <c r="BC496" s="50"/>
      <c r="BD496" s="50"/>
      <c r="BE496" s="50"/>
      <c r="BF496" s="50"/>
      <c r="BG496" s="50"/>
      <c r="BH496" s="50"/>
      <c r="BI496" s="50"/>
      <c r="BJ496" s="50"/>
    </row>
    <row r="497">
      <c r="A497" s="50"/>
      <c r="B497" s="61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/>
      <c r="AR497" s="50"/>
      <c r="AS497" s="50"/>
      <c r="AT497" s="50"/>
      <c r="AU497" s="50"/>
      <c r="AV497" s="50"/>
      <c r="AW497" s="50"/>
      <c r="AX497" s="50"/>
      <c r="AY497" s="50"/>
      <c r="AZ497" s="50"/>
      <c r="BA497" s="50"/>
      <c r="BB497" s="50"/>
      <c r="BC497" s="50"/>
      <c r="BD497" s="50"/>
      <c r="BE497" s="50"/>
      <c r="BF497" s="50"/>
      <c r="BG497" s="50"/>
      <c r="BH497" s="50"/>
      <c r="BI497" s="50"/>
      <c r="BJ497" s="50"/>
    </row>
    <row r="498">
      <c r="A498" s="50"/>
      <c r="B498" s="61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/>
      <c r="BE498" s="50"/>
      <c r="BF498" s="50"/>
      <c r="BG498" s="50"/>
      <c r="BH498" s="50"/>
      <c r="BI498" s="50"/>
      <c r="BJ498" s="50"/>
    </row>
    <row r="499">
      <c r="A499" s="50"/>
      <c r="B499" s="61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  <c r="AL499" s="50"/>
      <c r="AM499" s="50"/>
      <c r="AN499" s="50"/>
      <c r="AO499" s="50"/>
      <c r="AP499" s="50"/>
      <c r="AQ499" s="50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0"/>
      <c r="BC499" s="50"/>
      <c r="BD499" s="50"/>
      <c r="BE499" s="50"/>
      <c r="BF499" s="50"/>
      <c r="BG499" s="50"/>
      <c r="BH499" s="50"/>
      <c r="BI499" s="50"/>
      <c r="BJ499" s="50"/>
    </row>
    <row r="500">
      <c r="A500" s="50"/>
      <c r="B500" s="61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50"/>
      <c r="AL500" s="50"/>
      <c r="AM500" s="50"/>
      <c r="AN500" s="50"/>
      <c r="AO500" s="50"/>
      <c r="AP500" s="50"/>
      <c r="AQ500" s="50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0"/>
      <c r="BC500" s="50"/>
      <c r="BD500" s="50"/>
      <c r="BE500" s="50"/>
      <c r="BF500" s="50"/>
      <c r="BG500" s="50"/>
      <c r="BH500" s="50"/>
      <c r="BI500" s="50"/>
      <c r="BJ500" s="50"/>
    </row>
    <row r="501">
      <c r="A501" s="50"/>
      <c r="B501" s="61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0"/>
      <c r="BC501" s="50"/>
      <c r="BD501" s="50"/>
      <c r="BE501" s="50"/>
      <c r="BF501" s="50"/>
      <c r="BG501" s="50"/>
      <c r="BH501" s="50"/>
      <c r="BI501" s="50"/>
      <c r="BJ501" s="50"/>
    </row>
    <row r="502">
      <c r="A502" s="50"/>
      <c r="B502" s="61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0"/>
      <c r="BE502" s="50"/>
      <c r="BF502" s="50"/>
      <c r="BG502" s="50"/>
      <c r="BH502" s="50"/>
      <c r="BI502" s="50"/>
      <c r="BJ502" s="50"/>
    </row>
    <row r="503">
      <c r="A503" s="50"/>
      <c r="B503" s="61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0"/>
      <c r="BE503" s="50"/>
      <c r="BF503" s="50"/>
      <c r="BG503" s="50"/>
      <c r="BH503" s="50"/>
      <c r="BI503" s="50"/>
      <c r="BJ503" s="50"/>
    </row>
    <row r="504">
      <c r="A504" s="50"/>
      <c r="B504" s="61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50"/>
      <c r="BE504" s="50"/>
      <c r="BF504" s="50"/>
      <c r="BG504" s="50"/>
      <c r="BH504" s="50"/>
      <c r="BI504" s="50"/>
      <c r="BJ504" s="50"/>
    </row>
    <row r="505">
      <c r="A505" s="50"/>
      <c r="B505" s="61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/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/>
      <c r="BB505" s="50"/>
      <c r="BC505" s="50"/>
      <c r="BD505" s="50"/>
      <c r="BE505" s="50"/>
      <c r="BF505" s="50"/>
      <c r="BG505" s="50"/>
      <c r="BH505" s="50"/>
      <c r="BI505" s="50"/>
      <c r="BJ505" s="50"/>
    </row>
    <row r="506">
      <c r="A506" s="50"/>
      <c r="B506" s="61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50"/>
      <c r="AL506" s="50"/>
      <c r="AM506" s="50"/>
      <c r="AN506" s="50"/>
      <c r="AO506" s="50"/>
      <c r="AP506" s="50"/>
      <c r="AQ506" s="50"/>
      <c r="AR506" s="50"/>
      <c r="AS506" s="50"/>
      <c r="AT506" s="50"/>
      <c r="AU506" s="50"/>
      <c r="AV506" s="50"/>
      <c r="AW506" s="50"/>
      <c r="AX506" s="50"/>
      <c r="AY506" s="50"/>
      <c r="AZ506" s="50"/>
      <c r="BA506" s="50"/>
      <c r="BB506" s="50"/>
      <c r="BC506" s="50"/>
      <c r="BD506" s="50"/>
      <c r="BE506" s="50"/>
      <c r="BF506" s="50"/>
      <c r="BG506" s="50"/>
      <c r="BH506" s="50"/>
      <c r="BI506" s="50"/>
      <c r="BJ506" s="50"/>
    </row>
    <row r="507">
      <c r="A507" s="50"/>
      <c r="B507" s="61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/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/>
      <c r="BB507" s="50"/>
      <c r="BC507" s="50"/>
      <c r="BD507" s="50"/>
      <c r="BE507" s="50"/>
      <c r="BF507" s="50"/>
      <c r="BG507" s="50"/>
      <c r="BH507" s="50"/>
      <c r="BI507" s="50"/>
      <c r="BJ507" s="50"/>
    </row>
    <row r="508">
      <c r="A508" s="50"/>
      <c r="B508" s="61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50"/>
      <c r="BE508" s="50"/>
      <c r="BF508" s="50"/>
      <c r="BG508" s="50"/>
      <c r="BH508" s="50"/>
      <c r="BI508" s="50"/>
      <c r="BJ508" s="50"/>
    </row>
    <row r="509">
      <c r="A509" s="50"/>
      <c r="B509" s="61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/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0"/>
      <c r="BC509" s="50"/>
      <c r="BD509" s="50"/>
      <c r="BE509" s="50"/>
      <c r="BF509" s="50"/>
      <c r="BG509" s="50"/>
      <c r="BH509" s="50"/>
      <c r="BI509" s="50"/>
      <c r="BJ509" s="50"/>
    </row>
    <row r="510">
      <c r="A510" s="50"/>
      <c r="B510" s="61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  <c r="AM510" s="50"/>
      <c r="AN510" s="50"/>
      <c r="AO510" s="50"/>
      <c r="AP510" s="50"/>
      <c r="AQ510" s="50"/>
      <c r="AR510" s="50"/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0"/>
      <c r="BE510" s="50"/>
      <c r="BF510" s="50"/>
      <c r="BG510" s="50"/>
      <c r="BH510" s="50"/>
      <c r="BI510" s="50"/>
      <c r="BJ510" s="50"/>
    </row>
    <row r="511">
      <c r="A511" s="50"/>
      <c r="B511" s="61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50"/>
      <c r="AL511" s="50"/>
      <c r="AM511" s="50"/>
      <c r="AN511" s="50"/>
      <c r="AO511" s="50"/>
      <c r="AP511" s="50"/>
      <c r="AQ511" s="50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0"/>
      <c r="BC511" s="50"/>
      <c r="BD511" s="50"/>
      <c r="BE511" s="50"/>
      <c r="BF511" s="50"/>
      <c r="BG511" s="50"/>
      <c r="BH511" s="50"/>
      <c r="BI511" s="50"/>
      <c r="BJ511" s="50"/>
    </row>
    <row r="512">
      <c r="A512" s="50"/>
      <c r="B512" s="61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/>
      <c r="BE512" s="50"/>
      <c r="BF512" s="50"/>
      <c r="BG512" s="50"/>
      <c r="BH512" s="50"/>
      <c r="BI512" s="50"/>
      <c r="BJ512" s="50"/>
    </row>
    <row r="513">
      <c r="A513" s="50"/>
      <c r="B513" s="61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0"/>
      <c r="BE513" s="50"/>
      <c r="BF513" s="50"/>
      <c r="BG513" s="50"/>
      <c r="BH513" s="50"/>
      <c r="BI513" s="50"/>
      <c r="BJ513" s="50"/>
    </row>
    <row r="514">
      <c r="A514" s="50"/>
      <c r="B514" s="61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/>
      <c r="BE514" s="50"/>
      <c r="BF514" s="50"/>
      <c r="BG514" s="50"/>
      <c r="BH514" s="50"/>
      <c r="BI514" s="50"/>
      <c r="BJ514" s="50"/>
    </row>
    <row r="515">
      <c r="A515" s="50"/>
      <c r="B515" s="61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0"/>
      <c r="BC515" s="50"/>
      <c r="BD515" s="50"/>
      <c r="BE515" s="50"/>
      <c r="BF515" s="50"/>
      <c r="BG515" s="50"/>
      <c r="BH515" s="50"/>
      <c r="BI515" s="50"/>
      <c r="BJ515" s="50"/>
    </row>
    <row r="516">
      <c r="A516" s="50"/>
      <c r="B516" s="61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50"/>
      <c r="AR516" s="50"/>
      <c r="AS516" s="50"/>
      <c r="AT516" s="50"/>
      <c r="AU516" s="50"/>
      <c r="AV516" s="50"/>
      <c r="AW516" s="50"/>
      <c r="AX516" s="50"/>
      <c r="AY516" s="50"/>
      <c r="AZ516" s="50"/>
      <c r="BA516" s="50"/>
      <c r="BB516" s="50"/>
      <c r="BC516" s="50"/>
      <c r="BD516" s="50"/>
      <c r="BE516" s="50"/>
      <c r="BF516" s="50"/>
      <c r="BG516" s="50"/>
      <c r="BH516" s="50"/>
      <c r="BI516" s="50"/>
      <c r="BJ516" s="50"/>
    </row>
    <row r="517">
      <c r="A517" s="50"/>
      <c r="B517" s="61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  <c r="AQ517" s="50"/>
      <c r="AR517" s="50"/>
      <c r="AS517" s="50"/>
      <c r="AT517" s="50"/>
      <c r="AU517" s="50"/>
      <c r="AV517" s="50"/>
      <c r="AW517" s="50"/>
      <c r="AX517" s="50"/>
      <c r="AY517" s="50"/>
      <c r="AZ517" s="50"/>
      <c r="BA517" s="50"/>
      <c r="BB517" s="50"/>
      <c r="BC517" s="50"/>
      <c r="BD517" s="50"/>
      <c r="BE517" s="50"/>
      <c r="BF517" s="50"/>
      <c r="BG517" s="50"/>
      <c r="BH517" s="50"/>
      <c r="BI517" s="50"/>
      <c r="BJ517" s="50"/>
    </row>
    <row r="518">
      <c r="A518" s="50"/>
      <c r="B518" s="61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0"/>
      <c r="BF518" s="50"/>
      <c r="BG518" s="50"/>
      <c r="BH518" s="50"/>
      <c r="BI518" s="50"/>
      <c r="BJ518" s="50"/>
    </row>
    <row r="519">
      <c r="A519" s="50"/>
      <c r="B519" s="61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/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0"/>
      <c r="BC519" s="50"/>
      <c r="BD519" s="50"/>
      <c r="BE519" s="50"/>
      <c r="BF519" s="50"/>
      <c r="BG519" s="50"/>
      <c r="BH519" s="50"/>
      <c r="BI519" s="50"/>
      <c r="BJ519" s="50"/>
    </row>
    <row r="520">
      <c r="A520" s="50"/>
      <c r="B520" s="61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0"/>
      <c r="BE520" s="50"/>
      <c r="BF520" s="50"/>
      <c r="BG520" s="50"/>
      <c r="BH520" s="50"/>
      <c r="BI520" s="50"/>
      <c r="BJ520" s="50"/>
    </row>
    <row r="521">
      <c r="A521" s="50"/>
      <c r="B521" s="61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0"/>
      <c r="BE521" s="50"/>
      <c r="BF521" s="50"/>
      <c r="BG521" s="50"/>
      <c r="BH521" s="50"/>
      <c r="BI521" s="50"/>
      <c r="BJ521" s="50"/>
    </row>
    <row r="522">
      <c r="A522" s="50"/>
      <c r="B522" s="61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/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0"/>
      <c r="BE522" s="50"/>
      <c r="BF522" s="50"/>
      <c r="BG522" s="50"/>
      <c r="BH522" s="50"/>
      <c r="BI522" s="50"/>
      <c r="BJ522" s="50"/>
    </row>
    <row r="523">
      <c r="A523" s="50"/>
      <c r="B523" s="61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/>
      <c r="AL523" s="50"/>
      <c r="AM523" s="50"/>
      <c r="AN523" s="50"/>
      <c r="AO523" s="50"/>
      <c r="AP523" s="50"/>
      <c r="AQ523" s="50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0"/>
      <c r="BC523" s="50"/>
      <c r="BD523" s="50"/>
      <c r="BE523" s="50"/>
      <c r="BF523" s="50"/>
      <c r="BG523" s="50"/>
      <c r="BH523" s="50"/>
      <c r="BI523" s="50"/>
      <c r="BJ523" s="50"/>
    </row>
    <row r="524">
      <c r="A524" s="50"/>
      <c r="B524" s="61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  <c r="AL524" s="50"/>
      <c r="AM524" s="50"/>
      <c r="AN524" s="50"/>
      <c r="AO524" s="50"/>
      <c r="AP524" s="50"/>
      <c r="AQ524" s="50"/>
      <c r="AR524" s="50"/>
      <c r="AS524" s="50"/>
      <c r="AT524" s="50"/>
      <c r="AU524" s="50"/>
      <c r="AV524" s="50"/>
      <c r="AW524" s="50"/>
      <c r="AX524" s="50"/>
      <c r="AY524" s="50"/>
      <c r="AZ524" s="50"/>
      <c r="BA524" s="50"/>
      <c r="BB524" s="50"/>
      <c r="BC524" s="50"/>
      <c r="BD524" s="50"/>
      <c r="BE524" s="50"/>
      <c r="BF524" s="50"/>
      <c r="BG524" s="50"/>
      <c r="BH524" s="50"/>
      <c r="BI524" s="50"/>
      <c r="BJ524" s="50"/>
    </row>
    <row r="525">
      <c r="A525" s="50"/>
      <c r="B525" s="61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  <c r="AL525" s="50"/>
      <c r="AM525" s="50"/>
      <c r="AN525" s="50"/>
      <c r="AO525" s="50"/>
      <c r="AP525" s="50"/>
      <c r="AQ525" s="50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0"/>
      <c r="BC525" s="50"/>
      <c r="BD525" s="50"/>
      <c r="BE525" s="50"/>
      <c r="BF525" s="50"/>
      <c r="BG525" s="50"/>
      <c r="BH525" s="50"/>
      <c r="BI525" s="50"/>
      <c r="BJ525" s="50"/>
    </row>
    <row r="526">
      <c r="A526" s="50"/>
      <c r="B526" s="61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50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50"/>
      <c r="BE526" s="50"/>
      <c r="BF526" s="50"/>
      <c r="BG526" s="50"/>
      <c r="BH526" s="50"/>
      <c r="BI526" s="50"/>
      <c r="BJ526" s="50"/>
    </row>
    <row r="527">
      <c r="A527" s="50"/>
      <c r="B527" s="61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/>
      <c r="AM527" s="50"/>
      <c r="AN527" s="50"/>
      <c r="AO527" s="50"/>
      <c r="AP527" s="50"/>
      <c r="AQ527" s="50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0"/>
      <c r="BC527" s="50"/>
      <c r="BD527" s="50"/>
      <c r="BE527" s="50"/>
      <c r="BF527" s="50"/>
      <c r="BG527" s="50"/>
      <c r="BH527" s="50"/>
      <c r="BI527" s="50"/>
      <c r="BJ527" s="50"/>
    </row>
    <row r="528">
      <c r="A528" s="50"/>
      <c r="B528" s="61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/>
      <c r="AM528" s="50"/>
      <c r="AN528" s="50"/>
      <c r="AO528" s="50"/>
      <c r="AP528" s="50"/>
      <c r="AQ528" s="50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0"/>
      <c r="BC528" s="50"/>
      <c r="BD528" s="50"/>
      <c r="BE528" s="50"/>
      <c r="BF528" s="50"/>
      <c r="BG528" s="50"/>
      <c r="BH528" s="50"/>
      <c r="BI528" s="50"/>
      <c r="BJ528" s="50"/>
    </row>
    <row r="529">
      <c r="A529" s="50"/>
      <c r="B529" s="61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/>
      <c r="AM529" s="50"/>
      <c r="AN529" s="50"/>
      <c r="AO529" s="50"/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50"/>
      <c r="BE529" s="50"/>
      <c r="BF529" s="50"/>
      <c r="BG529" s="50"/>
      <c r="BH529" s="50"/>
      <c r="BI529" s="50"/>
      <c r="BJ529" s="50"/>
    </row>
    <row r="530">
      <c r="A530" s="50"/>
      <c r="B530" s="61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/>
      <c r="BE530" s="50"/>
      <c r="BF530" s="50"/>
      <c r="BG530" s="50"/>
      <c r="BH530" s="50"/>
      <c r="BI530" s="50"/>
      <c r="BJ530" s="50"/>
    </row>
    <row r="531">
      <c r="A531" s="50"/>
      <c r="B531" s="61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  <c r="AV531" s="50"/>
      <c r="AW531" s="50"/>
      <c r="AX531" s="50"/>
      <c r="AY531" s="50"/>
      <c r="AZ531" s="50"/>
      <c r="BA531" s="50"/>
      <c r="BB531" s="50"/>
      <c r="BC531" s="50"/>
      <c r="BD531" s="50"/>
      <c r="BE531" s="50"/>
      <c r="BF531" s="50"/>
      <c r="BG531" s="50"/>
      <c r="BH531" s="50"/>
      <c r="BI531" s="50"/>
      <c r="BJ531" s="50"/>
    </row>
    <row r="532">
      <c r="A532" s="50"/>
      <c r="B532" s="61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  <c r="AQ532" s="50"/>
      <c r="AR532" s="50"/>
      <c r="AS532" s="50"/>
      <c r="AT532" s="50"/>
      <c r="AU532" s="50"/>
      <c r="AV532" s="50"/>
      <c r="AW532" s="50"/>
      <c r="AX532" s="50"/>
      <c r="AY532" s="50"/>
      <c r="AZ532" s="50"/>
      <c r="BA532" s="50"/>
      <c r="BB532" s="50"/>
      <c r="BC532" s="50"/>
      <c r="BD532" s="50"/>
      <c r="BE532" s="50"/>
      <c r="BF532" s="50"/>
      <c r="BG532" s="50"/>
      <c r="BH532" s="50"/>
      <c r="BI532" s="50"/>
      <c r="BJ532" s="50"/>
    </row>
    <row r="533">
      <c r="A533" s="50"/>
      <c r="B533" s="61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50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0"/>
      <c r="BE533" s="50"/>
      <c r="BF533" s="50"/>
      <c r="BG533" s="50"/>
      <c r="BH533" s="50"/>
      <c r="BI533" s="50"/>
      <c r="BJ533" s="50"/>
    </row>
    <row r="534">
      <c r="A534" s="50"/>
      <c r="B534" s="61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  <c r="AL534" s="50"/>
      <c r="AM534" s="50"/>
      <c r="AN534" s="50"/>
      <c r="AO534" s="50"/>
      <c r="AP534" s="50"/>
      <c r="AQ534" s="50"/>
      <c r="AR534" s="50"/>
      <c r="AS534" s="50"/>
      <c r="AT534" s="50"/>
      <c r="AU534" s="50"/>
      <c r="AV534" s="50"/>
      <c r="AW534" s="50"/>
      <c r="AX534" s="50"/>
      <c r="AY534" s="50"/>
      <c r="AZ534" s="50"/>
      <c r="BA534" s="50"/>
      <c r="BB534" s="50"/>
      <c r="BC534" s="50"/>
      <c r="BD534" s="50"/>
      <c r="BE534" s="50"/>
      <c r="BF534" s="50"/>
      <c r="BG534" s="50"/>
      <c r="BH534" s="50"/>
      <c r="BI534" s="50"/>
      <c r="BJ534" s="50"/>
    </row>
    <row r="535">
      <c r="A535" s="50"/>
      <c r="B535" s="61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  <c r="AJ535" s="50"/>
      <c r="AK535" s="50"/>
      <c r="AL535" s="50"/>
      <c r="AM535" s="50"/>
      <c r="AN535" s="50"/>
      <c r="AO535" s="50"/>
      <c r="AP535" s="50"/>
      <c r="AQ535" s="50"/>
      <c r="AR535" s="50"/>
      <c r="AS535" s="50"/>
      <c r="AT535" s="50"/>
      <c r="AU535" s="50"/>
      <c r="AV535" s="50"/>
      <c r="AW535" s="50"/>
      <c r="AX535" s="50"/>
      <c r="AY535" s="50"/>
      <c r="AZ535" s="50"/>
      <c r="BA535" s="50"/>
      <c r="BB535" s="50"/>
      <c r="BC535" s="50"/>
      <c r="BD535" s="50"/>
      <c r="BE535" s="50"/>
      <c r="BF535" s="50"/>
      <c r="BG535" s="50"/>
      <c r="BH535" s="50"/>
      <c r="BI535" s="50"/>
      <c r="BJ535" s="50"/>
    </row>
    <row r="536">
      <c r="A536" s="50"/>
      <c r="B536" s="61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  <c r="AJ536" s="50"/>
      <c r="AK536" s="50"/>
      <c r="AL536" s="50"/>
      <c r="AM536" s="50"/>
      <c r="AN536" s="50"/>
      <c r="AO536" s="50"/>
      <c r="AP536" s="50"/>
      <c r="AQ536" s="50"/>
      <c r="AR536" s="50"/>
      <c r="AS536" s="50"/>
      <c r="AT536" s="50"/>
      <c r="AU536" s="50"/>
      <c r="AV536" s="50"/>
      <c r="AW536" s="50"/>
      <c r="AX536" s="50"/>
      <c r="AY536" s="50"/>
      <c r="AZ536" s="50"/>
      <c r="BA536" s="50"/>
      <c r="BB536" s="50"/>
      <c r="BC536" s="50"/>
      <c r="BD536" s="50"/>
      <c r="BE536" s="50"/>
      <c r="BF536" s="50"/>
      <c r="BG536" s="50"/>
      <c r="BH536" s="50"/>
      <c r="BI536" s="50"/>
      <c r="BJ536" s="50"/>
    </row>
    <row r="537">
      <c r="A537" s="50"/>
      <c r="B537" s="61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  <c r="AL537" s="50"/>
      <c r="AM537" s="50"/>
      <c r="AN537" s="50"/>
      <c r="AO537" s="50"/>
      <c r="AP537" s="50"/>
      <c r="AQ537" s="50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0"/>
      <c r="BC537" s="50"/>
      <c r="BD537" s="50"/>
      <c r="BE537" s="50"/>
      <c r="BF537" s="50"/>
      <c r="BG537" s="50"/>
      <c r="BH537" s="50"/>
      <c r="BI537" s="50"/>
      <c r="BJ537" s="50"/>
    </row>
    <row r="538">
      <c r="A538" s="50"/>
      <c r="B538" s="61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  <c r="AQ538" s="50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0"/>
      <c r="BE538" s="50"/>
      <c r="BF538" s="50"/>
      <c r="BG538" s="50"/>
      <c r="BH538" s="50"/>
      <c r="BI538" s="50"/>
      <c r="BJ538" s="50"/>
    </row>
    <row r="539">
      <c r="A539" s="50"/>
      <c r="B539" s="61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  <c r="AL539" s="50"/>
      <c r="AM539" s="50"/>
      <c r="AN539" s="50"/>
      <c r="AO539" s="50"/>
      <c r="AP539" s="50"/>
      <c r="AQ539" s="50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0"/>
      <c r="BC539" s="50"/>
      <c r="BD539" s="50"/>
      <c r="BE539" s="50"/>
      <c r="BF539" s="50"/>
      <c r="BG539" s="50"/>
      <c r="BH539" s="50"/>
      <c r="BI539" s="50"/>
      <c r="BJ539" s="50"/>
    </row>
    <row r="540">
      <c r="A540" s="50"/>
      <c r="B540" s="61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  <c r="AL540" s="50"/>
      <c r="AM540" s="50"/>
      <c r="AN540" s="50"/>
      <c r="AO540" s="50"/>
      <c r="AP540" s="50"/>
      <c r="AQ540" s="50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0"/>
      <c r="BC540" s="50"/>
      <c r="BD540" s="50"/>
      <c r="BE540" s="50"/>
      <c r="BF540" s="50"/>
      <c r="BG540" s="50"/>
      <c r="BH540" s="50"/>
      <c r="BI540" s="50"/>
      <c r="BJ540" s="50"/>
    </row>
    <row r="541">
      <c r="A541" s="50"/>
      <c r="B541" s="61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  <c r="AL541" s="50"/>
      <c r="AM541" s="50"/>
      <c r="AN541" s="50"/>
      <c r="AO541" s="50"/>
      <c r="AP541" s="50"/>
      <c r="AQ541" s="50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/>
      <c r="BE541" s="50"/>
      <c r="BF541" s="50"/>
      <c r="BG541" s="50"/>
      <c r="BH541" s="50"/>
      <c r="BI541" s="50"/>
      <c r="BJ541" s="50"/>
    </row>
    <row r="542">
      <c r="A542" s="50"/>
      <c r="B542" s="61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0"/>
      <c r="AN542" s="50"/>
      <c r="AO542" s="50"/>
      <c r="AP542" s="50"/>
      <c r="AQ542" s="50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50"/>
      <c r="BF542" s="50"/>
      <c r="BG542" s="50"/>
      <c r="BH542" s="50"/>
      <c r="BI542" s="50"/>
      <c r="BJ542" s="50"/>
    </row>
    <row r="543">
      <c r="A543" s="50"/>
      <c r="B543" s="61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0"/>
      <c r="AN543" s="50"/>
      <c r="AO543" s="50"/>
      <c r="AP543" s="50"/>
      <c r="AQ543" s="50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/>
      <c r="BE543" s="50"/>
      <c r="BF543" s="50"/>
      <c r="BG543" s="50"/>
      <c r="BH543" s="50"/>
      <c r="BI543" s="50"/>
      <c r="BJ543" s="50"/>
    </row>
    <row r="544">
      <c r="A544" s="50"/>
      <c r="B544" s="61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  <c r="AL544" s="50"/>
      <c r="AM544" s="50"/>
      <c r="AN544" s="50"/>
      <c r="AO544" s="50"/>
      <c r="AP544" s="50"/>
      <c r="AQ544" s="50"/>
      <c r="AR544" s="50"/>
      <c r="AS544" s="50"/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0"/>
      <c r="BE544" s="50"/>
      <c r="BF544" s="50"/>
      <c r="BG544" s="50"/>
      <c r="BH544" s="50"/>
      <c r="BI544" s="50"/>
      <c r="BJ544" s="50"/>
    </row>
    <row r="545">
      <c r="A545" s="50"/>
      <c r="B545" s="61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/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/>
      <c r="BE545" s="50"/>
      <c r="BF545" s="50"/>
      <c r="BG545" s="50"/>
      <c r="BH545" s="50"/>
      <c r="BI545" s="50"/>
      <c r="BJ545" s="50"/>
    </row>
    <row r="546">
      <c r="A546" s="50"/>
      <c r="B546" s="61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  <c r="AJ546" s="50"/>
      <c r="AK546" s="50"/>
      <c r="AL546" s="50"/>
      <c r="AM546" s="50"/>
      <c r="AN546" s="50"/>
      <c r="AO546" s="50"/>
      <c r="AP546" s="50"/>
      <c r="AQ546" s="50"/>
      <c r="AR546" s="50"/>
      <c r="AS546" s="50"/>
      <c r="AT546" s="50"/>
      <c r="AU546" s="50"/>
      <c r="AV546" s="50"/>
      <c r="AW546" s="50"/>
      <c r="AX546" s="50"/>
      <c r="AY546" s="50"/>
      <c r="AZ546" s="50"/>
      <c r="BA546" s="50"/>
      <c r="BB546" s="50"/>
      <c r="BC546" s="50"/>
      <c r="BD546" s="50"/>
      <c r="BE546" s="50"/>
      <c r="BF546" s="50"/>
      <c r="BG546" s="50"/>
      <c r="BH546" s="50"/>
      <c r="BI546" s="50"/>
      <c r="BJ546" s="50"/>
    </row>
    <row r="547">
      <c r="A547" s="50"/>
      <c r="B547" s="61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/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/>
      <c r="BB547" s="50"/>
      <c r="BC547" s="50"/>
      <c r="BD547" s="50"/>
      <c r="BE547" s="50"/>
      <c r="BF547" s="50"/>
      <c r="BG547" s="50"/>
      <c r="BH547" s="50"/>
      <c r="BI547" s="50"/>
      <c r="BJ547" s="50"/>
    </row>
    <row r="548">
      <c r="A548" s="50"/>
      <c r="B548" s="61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  <c r="AJ548" s="50"/>
      <c r="AK548" s="50"/>
      <c r="AL548" s="50"/>
      <c r="AM548" s="50"/>
      <c r="AN548" s="50"/>
      <c r="AO548" s="50"/>
      <c r="AP548" s="50"/>
      <c r="AQ548" s="50"/>
      <c r="AR548" s="50"/>
      <c r="AS548" s="50"/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50"/>
      <c r="BE548" s="50"/>
      <c r="BF548" s="50"/>
      <c r="BG548" s="50"/>
      <c r="BH548" s="50"/>
      <c r="BI548" s="50"/>
      <c r="BJ548" s="50"/>
    </row>
    <row r="549">
      <c r="A549" s="50"/>
      <c r="B549" s="61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/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0"/>
      <c r="BE549" s="50"/>
      <c r="BF549" s="50"/>
      <c r="BG549" s="50"/>
      <c r="BH549" s="50"/>
      <c r="BI549" s="50"/>
      <c r="BJ549" s="50"/>
    </row>
    <row r="550">
      <c r="A550" s="50"/>
      <c r="B550" s="61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50"/>
      <c r="AR550" s="50"/>
      <c r="AS550" s="50"/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/>
      <c r="BE550" s="50"/>
      <c r="BF550" s="50"/>
      <c r="BG550" s="50"/>
      <c r="BH550" s="50"/>
      <c r="BI550" s="50"/>
      <c r="BJ550" s="50"/>
    </row>
    <row r="551">
      <c r="A551" s="50"/>
      <c r="B551" s="61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0"/>
      <c r="BE551" s="50"/>
      <c r="BF551" s="50"/>
      <c r="BG551" s="50"/>
      <c r="BH551" s="50"/>
      <c r="BI551" s="50"/>
      <c r="BJ551" s="50"/>
    </row>
    <row r="552">
      <c r="A552" s="50"/>
      <c r="B552" s="61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  <c r="AN552" s="50"/>
      <c r="AO552" s="50"/>
      <c r="AP552" s="50"/>
      <c r="AQ552" s="50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/>
      <c r="BE552" s="50"/>
      <c r="BF552" s="50"/>
      <c r="BG552" s="50"/>
      <c r="BH552" s="50"/>
      <c r="BI552" s="50"/>
      <c r="BJ552" s="50"/>
    </row>
    <row r="553">
      <c r="A553" s="50"/>
      <c r="B553" s="61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  <c r="AL553" s="50"/>
      <c r="AM553" s="50"/>
      <c r="AN553" s="50"/>
      <c r="AO553" s="50"/>
      <c r="AP553" s="50"/>
      <c r="AQ553" s="50"/>
      <c r="AR553" s="50"/>
      <c r="AS553" s="50"/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0"/>
      <c r="BE553" s="50"/>
      <c r="BF553" s="50"/>
      <c r="BG553" s="50"/>
      <c r="BH553" s="50"/>
      <c r="BI553" s="50"/>
      <c r="BJ553" s="50"/>
    </row>
    <row r="554">
      <c r="A554" s="50"/>
      <c r="B554" s="61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  <c r="AL554" s="50"/>
      <c r="AM554" s="50"/>
      <c r="AN554" s="50"/>
      <c r="AO554" s="50"/>
      <c r="AP554" s="50"/>
      <c r="AQ554" s="50"/>
      <c r="AR554" s="50"/>
      <c r="AS554" s="50"/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/>
      <c r="BE554" s="50"/>
      <c r="BF554" s="50"/>
      <c r="BG554" s="50"/>
      <c r="BH554" s="50"/>
      <c r="BI554" s="50"/>
      <c r="BJ554" s="50"/>
    </row>
    <row r="555">
      <c r="A555" s="50"/>
      <c r="B555" s="61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  <c r="AL555" s="50"/>
      <c r="AM555" s="50"/>
      <c r="AN555" s="50"/>
      <c r="AO555" s="50"/>
      <c r="AP555" s="50"/>
      <c r="AQ555" s="50"/>
      <c r="AR555" s="50"/>
      <c r="AS555" s="50"/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0"/>
      <c r="BE555" s="50"/>
      <c r="BF555" s="50"/>
      <c r="BG555" s="50"/>
      <c r="BH555" s="50"/>
      <c r="BI555" s="50"/>
      <c r="BJ555" s="50"/>
    </row>
    <row r="556">
      <c r="A556" s="50"/>
      <c r="B556" s="61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0"/>
      <c r="AN556" s="50"/>
      <c r="AO556" s="50"/>
      <c r="AP556" s="50"/>
      <c r="AQ556" s="50"/>
      <c r="AR556" s="50"/>
      <c r="AS556" s="50"/>
      <c r="AT556" s="50"/>
      <c r="AU556" s="50"/>
      <c r="AV556" s="50"/>
      <c r="AW556" s="50"/>
      <c r="AX556" s="50"/>
      <c r="AY556" s="50"/>
      <c r="AZ556" s="50"/>
      <c r="BA556" s="50"/>
      <c r="BB556" s="50"/>
      <c r="BC556" s="50"/>
      <c r="BD556" s="50"/>
      <c r="BE556" s="50"/>
      <c r="BF556" s="50"/>
      <c r="BG556" s="50"/>
      <c r="BH556" s="50"/>
      <c r="BI556" s="50"/>
      <c r="BJ556" s="50"/>
    </row>
    <row r="557">
      <c r="A557" s="50"/>
      <c r="B557" s="61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  <c r="AL557" s="50"/>
      <c r="AM557" s="50"/>
      <c r="AN557" s="50"/>
      <c r="AO557" s="50"/>
      <c r="AP557" s="50"/>
      <c r="AQ557" s="50"/>
      <c r="AR557" s="50"/>
      <c r="AS557" s="50"/>
      <c r="AT557" s="50"/>
      <c r="AU557" s="50"/>
      <c r="AV557" s="50"/>
      <c r="AW557" s="50"/>
      <c r="AX557" s="50"/>
      <c r="AY557" s="50"/>
      <c r="AZ557" s="50"/>
      <c r="BA557" s="50"/>
      <c r="BB557" s="50"/>
      <c r="BC557" s="50"/>
      <c r="BD557" s="50"/>
      <c r="BE557" s="50"/>
      <c r="BF557" s="50"/>
      <c r="BG557" s="50"/>
      <c r="BH557" s="50"/>
      <c r="BI557" s="50"/>
      <c r="BJ557" s="50"/>
    </row>
    <row r="558">
      <c r="A558" s="50"/>
      <c r="B558" s="61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  <c r="AL558" s="50"/>
      <c r="AM558" s="50"/>
      <c r="AN558" s="50"/>
      <c r="AO558" s="50"/>
      <c r="AP558" s="50"/>
      <c r="AQ558" s="50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0"/>
      <c r="BE558" s="50"/>
      <c r="BF558" s="50"/>
      <c r="BG558" s="50"/>
      <c r="BH558" s="50"/>
      <c r="BI558" s="50"/>
      <c r="BJ558" s="50"/>
    </row>
    <row r="559">
      <c r="A559" s="50"/>
      <c r="B559" s="61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  <c r="AL559" s="50"/>
      <c r="AM559" s="50"/>
      <c r="AN559" s="50"/>
      <c r="AO559" s="50"/>
      <c r="AP559" s="50"/>
      <c r="AQ559" s="50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  <c r="BG559" s="50"/>
      <c r="BH559" s="50"/>
      <c r="BI559" s="50"/>
      <c r="BJ559" s="50"/>
    </row>
    <row r="560">
      <c r="A560" s="50"/>
      <c r="B560" s="61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  <c r="AJ560" s="50"/>
      <c r="AK560" s="50"/>
      <c r="AL560" s="50"/>
      <c r="AM560" s="50"/>
      <c r="AN560" s="50"/>
      <c r="AO560" s="50"/>
      <c r="AP560" s="50"/>
      <c r="AQ560" s="50"/>
      <c r="AR560" s="50"/>
      <c r="AS560" s="50"/>
      <c r="AT560" s="50"/>
      <c r="AU560" s="50"/>
      <c r="AV560" s="50"/>
      <c r="AW560" s="50"/>
      <c r="AX560" s="50"/>
      <c r="AY560" s="50"/>
      <c r="AZ560" s="50"/>
      <c r="BA560" s="50"/>
      <c r="BB560" s="50"/>
      <c r="BC560" s="50"/>
      <c r="BD560" s="50"/>
      <c r="BE560" s="50"/>
      <c r="BF560" s="50"/>
      <c r="BG560" s="50"/>
      <c r="BH560" s="50"/>
      <c r="BI560" s="50"/>
      <c r="BJ560" s="50"/>
    </row>
    <row r="561">
      <c r="A561" s="50"/>
      <c r="B561" s="61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  <c r="AJ561" s="50"/>
      <c r="AK561" s="50"/>
      <c r="AL561" s="50"/>
      <c r="AM561" s="50"/>
      <c r="AN561" s="50"/>
      <c r="AO561" s="50"/>
      <c r="AP561" s="50"/>
      <c r="AQ561" s="50"/>
      <c r="AR561" s="50"/>
      <c r="AS561" s="50"/>
      <c r="AT561" s="50"/>
      <c r="AU561" s="50"/>
      <c r="AV561" s="50"/>
      <c r="AW561" s="50"/>
      <c r="AX561" s="50"/>
      <c r="AY561" s="50"/>
      <c r="AZ561" s="50"/>
      <c r="BA561" s="50"/>
      <c r="BB561" s="50"/>
      <c r="BC561" s="50"/>
      <c r="BD561" s="50"/>
      <c r="BE561" s="50"/>
      <c r="BF561" s="50"/>
      <c r="BG561" s="50"/>
      <c r="BH561" s="50"/>
      <c r="BI561" s="50"/>
      <c r="BJ561" s="50"/>
    </row>
    <row r="562">
      <c r="A562" s="50"/>
      <c r="B562" s="61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  <c r="AJ562" s="50"/>
      <c r="AK562" s="50"/>
      <c r="AL562" s="50"/>
      <c r="AM562" s="50"/>
      <c r="AN562" s="50"/>
      <c r="AO562" s="50"/>
      <c r="AP562" s="50"/>
      <c r="AQ562" s="50"/>
      <c r="AR562" s="50"/>
      <c r="AS562" s="50"/>
      <c r="AT562" s="50"/>
      <c r="AU562" s="50"/>
      <c r="AV562" s="50"/>
      <c r="AW562" s="50"/>
      <c r="AX562" s="50"/>
      <c r="AY562" s="50"/>
      <c r="AZ562" s="50"/>
      <c r="BA562" s="50"/>
      <c r="BB562" s="50"/>
      <c r="BC562" s="50"/>
      <c r="BD562" s="50"/>
      <c r="BE562" s="50"/>
      <c r="BF562" s="50"/>
      <c r="BG562" s="50"/>
      <c r="BH562" s="50"/>
      <c r="BI562" s="50"/>
      <c r="BJ562" s="50"/>
    </row>
    <row r="563">
      <c r="A563" s="50"/>
      <c r="B563" s="61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  <c r="AL563" s="50"/>
      <c r="AM563" s="50"/>
      <c r="AN563" s="50"/>
      <c r="AO563" s="50"/>
      <c r="AP563" s="50"/>
      <c r="AQ563" s="50"/>
      <c r="AR563" s="50"/>
      <c r="AS563" s="50"/>
      <c r="AT563" s="50"/>
      <c r="AU563" s="50"/>
      <c r="AV563" s="50"/>
      <c r="AW563" s="50"/>
      <c r="AX563" s="50"/>
      <c r="AY563" s="50"/>
      <c r="AZ563" s="50"/>
      <c r="BA563" s="50"/>
      <c r="BB563" s="50"/>
      <c r="BC563" s="50"/>
      <c r="BD563" s="50"/>
      <c r="BE563" s="50"/>
      <c r="BF563" s="50"/>
      <c r="BG563" s="50"/>
      <c r="BH563" s="50"/>
      <c r="BI563" s="50"/>
      <c r="BJ563" s="50"/>
    </row>
    <row r="564">
      <c r="A564" s="50"/>
      <c r="B564" s="61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/>
      <c r="AP564" s="50"/>
      <c r="AQ564" s="50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0"/>
      <c r="BE564" s="50"/>
      <c r="BF564" s="50"/>
      <c r="BG564" s="50"/>
      <c r="BH564" s="50"/>
      <c r="BI564" s="50"/>
      <c r="BJ564" s="50"/>
    </row>
    <row r="565">
      <c r="A565" s="50"/>
      <c r="B565" s="61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  <c r="AL565" s="50"/>
      <c r="AM565" s="50"/>
      <c r="AN565" s="50"/>
      <c r="AO565" s="50"/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/>
      <c r="BE565" s="50"/>
      <c r="BF565" s="50"/>
      <c r="BG565" s="50"/>
      <c r="BH565" s="50"/>
      <c r="BI565" s="50"/>
      <c r="BJ565" s="50"/>
    </row>
    <row r="566">
      <c r="A566" s="50"/>
      <c r="B566" s="61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  <c r="AL566" s="50"/>
      <c r="AM566" s="50"/>
      <c r="AN566" s="50"/>
      <c r="AO566" s="50"/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50"/>
      <c r="BH566" s="50"/>
      <c r="BI566" s="50"/>
      <c r="BJ566" s="50"/>
    </row>
    <row r="567">
      <c r="A567" s="50"/>
      <c r="B567" s="61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  <c r="AL567" s="50"/>
      <c r="AM567" s="50"/>
      <c r="AN567" s="50"/>
      <c r="AO567" s="50"/>
      <c r="AP567" s="50"/>
      <c r="AQ567" s="50"/>
      <c r="AR567" s="50"/>
      <c r="AS567" s="50"/>
      <c r="AT567" s="50"/>
      <c r="AU567" s="50"/>
      <c r="AV567" s="50"/>
      <c r="AW567" s="50"/>
      <c r="AX567" s="50"/>
      <c r="AY567" s="50"/>
      <c r="AZ567" s="50"/>
      <c r="BA567" s="50"/>
      <c r="BB567" s="50"/>
      <c r="BC567" s="50"/>
      <c r="BD567" s="50"/>
      <c r="BE567" s="50"/>
      <c r="BF567" s="50"/>
      <c r="BG567" s="50"/>
      <c r="BH567" s="50"/>
      <c r="BI567" s="50"/>
      <c r="BJ567" s="50"/>
    </row>
    <row r="568">
      <c r="A568" s="50"/>
      <c r="B568" s="61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/>
      <c r="AP568" s="50"/>
      <c r="AQ568" s="50"/>
      <c r="AR568" s="50"/>
      <c r="AS568" s="50"/>
      <c r="AT568" s="50"/>
      <c r="AU568" s="50"/>
      <c r="AV568" s="50"/>
      <c r="AW568" s="50"/>
      <c r="AX568" s="50"/>
      <c r="AY568" s="50"/>
      <c r="AZ568" s="50"/>
      <c r="BA568" s="50"/>
      <c r="BB568" s="50"/>
      <c r="BC568" s="50"/>
      <c r="BD568" s="50"/>
      <c r="BE568" s="50"/>
      <c r="BF568" s="50"/>
      <c r="BG568" s="50"/>
      <c r="BH568" s="50"/>
      <c r="BI568" s="50"/>
      <c r="BJ568" s="50"/>
    </row>
    <row r="569">
      <c r="A569" s="50"/>
      <c r="B569" s="61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/>
      <c r="AP569" s="50"/>
      <c r="AQ569" s="50"/>
      <c r="AR569" s="50"/>
      <c r="AS569" s="50"/>
      <c r="AT569" s="50"/>
      <c r="AU569" s="50"/>
      <c r="AV569" s="50"/>
      <c r="AW569" s="50"/>
      <c r="AX569" s="50"/>
      <c r="AY569" s="50"/>
      <c r="AZ569" s="50"/>
      <c r="BA569" s="50"/>
      <c r="BB569" s="50"/>
      <c r="BC569" s="50"/>
      <c r="BD569" s="50"/>
      <c r="BE569" s="50"/>
      <c r="BF569" s="50"/>
      <c r="BG569" s="50"/>
      <c r="BH569" s="50"/>
      <c r="BI569" s="50"/>
      <c r="BJ569" s="50"/>
    </row>
    <row r="570">
      <c r="A570" s="50"/>
      <c r="B570" s="61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50"/>
      <c r="BH570" s="50"/>
      <c r="BI570" s="50"/>
      <c r="BJ570" s="50"/>
    </row>
    <row r="571">
      <c r="A571" s="50"/>
      <c r="B571" s="61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  <c r="AL571" s="50"/>
      <c r="AM571" s="50"/>
      <c r="AN571" s="50"/>
      <c r="AO571" s="50"/>
      <c r="AP571" s="50"/>
      <c r="AQ571" s="50"/>
      <c r="AR571" s="50"/>
      <c r="AS571" s="50"/>
      <c r="AT571" s="50"/>
      <c r="AU571" s="50"/>
      <c r="AV571" s="50"/>
      <c r="AW571" s="50"/>
      <c r="AX571" s="50"/>
      <c r="AY571" s="50"/>
      <c r="AZ571" s="50"/>
      <c r="BA571" s="50"/>
      <c r="BB571" s="50"/>
      <c r="BC571" s="50"/>
      <c r="BD571" s="50"/>
      <c r="BE571" s="50"/>
      <c r="BF571" s="50"/>
      <c r="BG571" s="50"/>
      <c r="BH571" s="50"/>
      <c r="BI571" s="50"/>
      <c r="BJ571" s="50"/>
    </row>
    <row r="572">
      <c r="A572" s="50"/>
      <c r="B572" s="61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  <c r="AL572" s="50"/>
      <c r="AM572" s="50"/>
      <c r="AN572" s="50"/>
      <c r="AO572" s="50"/>
      <c r="AP572" s="50"/>
      <c r="AQ572" s="50"/>
      <c r="AR572" s="50"/>
      <c r="AS572" s="50"/>
      <c r="AT572" s="50"/>
      <c r="AU572" s="50"/>
      <c r="AV572" s="50"/>
      <c r="AW572" s="50"/>
      <c r="AX572" s="50"/>
      <c r="AY572" s="50"/>
      <c r="AZ572" s="50"/>
      <c r="BA572" s="50"/>
      <c r="BB572" s="50"/>
      <c r="BC572" s="50"/>
      <c r="BD572" s="50"/>
      <c r="BE572" s="50"/>
      <c r="BF572" s="50"/>
      <c r="BG572" s="50"/>
      <c r="BH572" s="50"/>
      <c r="BI572" s="50"/>
      <c r="BJ572" s="50"/>
    </row>
    <row r="573">
      <c r="A573" s="50"/>
      <c r="B573" s="61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  <c r="AJ573" s="50"/>
      <c r="AK573" s="50"/>
      <c r="AL573" s="50"/>
      <c r="AM573" s="50"/>
      <c r="AN573" s="50"/>
      <c r="AO573" s="50"/>
      <c r="AP573" s="50"/>
      <c r="AQ573" s="50"/>
      <c r="AR573" s="50"/>
      <c r="AS573" s="50"/>
      <c r="AT573" s="50"/>
      <c r="AU573" s="50"/>
      <c r="AV573" s="50"/>
      <c r="AW573" s="50"/>
      <c r="AX573" s="50"/>
      <c r="AY573" s="50"/>
      <c r="AZ573" s="50"/>
      <c r="BA573" s="50"/>
      <c r="BB573" s="50"/>
      <c r="BC573" s="50"/>
      <c r="BD573" s="50"/>
      <c r="BE573" s="50"/>
      <c r="BF573" s="50"/>
      <c r="BG573" s="50"/>
      <c r="BH573" s="50"/>
      <c r="BI573" s="50"/>
      <c r="BJ573" s="50"/>
    </row>
    <row r="574">
      <c r="A574" s="50"/>
      <c r="B574" s="61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  <c r="BG574" s="50"/>
      <c r="BH574" s="50"/>
      <c r="BI574" s="50"/>
      <c r="BJ574" s="50"/>
    </row>
    <row r="575">
      <c r="A575" s="50"/>
      <c r="B575" s="61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  <c r="AJ575" s="50"/>
      <c r="AK575" s="50"/>
      <c r="AL575" s="50"/>
      <c r="AM575" s="50"/>
      <c r="AN575" s="50"/>
      <c r="AO575" s="50"/>
      <c r="AP575" s="50"/>
      <c r="AQ575" s="50"/>
      <c r="AR575" s="50"/>
      <c r="AS575" s="50"/>
      <c r="AT575" s="50"/>
      <c r="AU575" s="50"/>
      <c r="AV575" s="50"/>
      <c r="AW575" s="50"/>
      <c r="AX575" s="50"/>
      <c r="AY575" s="50"/>
      <c r="AZ575" s="50"/>
      <c r="BA575" s="50"/>
      <c r="BB575" s="50"/>
      <c r="BC575" s="50"/>
      <c r="BD575" s="50"/>
      <c r="BE575" s="50"/>
      <c r="BF575" s="50"/>
      <c r="BG575" s="50"/>
      <c r="BH575" s="50"/>
      <c r="BI575" s="50"/>
      <c r="BJ575" s="50"/>
    </row>
    <row r="576">
      <c r="A576" s="50"/>
      <c r="B576" s="61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  <c r="AL576" s="50"/>
      <c r="AM576" s="50"/>
      <c r="AN576" s="50"/>
      <c r="AO576" s="50"/>
      <c r="AP576" s="50"/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/>
      <c r="BE576" s="50"/>
      <c r="BF576" s="50"/>
      <c r="BG576" s="50"/>
      <c r="BH576" s="50"/>
      <c r="BI576" s="50"/>
      <c r="BJ576" s="50"/>
    </row>
    <row r="577">
      <c r="A577" s="50"/>
      <c r="B577" s="61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/>
      <c r="AQ577" s="50"/>
      <c r="AR577" s="50"/>
      <c r="AS577" s="50"/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0"/>
      <c r="BE577" s="50"/>
      <c r="BF577" s="50"/>
      <c r="BG577" s="50"/>
      <c r="BH577" s="50"/>
      <c r="BI577" s="50"/>
      <c r="BJ577" s="50"/>
    </row>
    <row r="578">
      <c r="A578" s="50"/>
      <c r="B578" s="61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50"/>
      <c r="BH578" s="50"/>
      <c r="BI578" s="50"/>
      <c r="BJ578" s="50"/>
    </row>
    <row r="579">
      <c r="A579" s="50"/>
      <c r="B579" s="61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  <c r="AL579" s="50"/>
      <c r="AM579" s="50"/>
      <c r="AN579" s="50"/>
      <c r="AO579" s="50"/>
      <c r="AP579" s="50"/>
      <c r="AQ579" s="50"/>
      <c r="AR579" s="50"/>
      <c r="AS579" s="50"/>
      <c r="AT579" s="50"/>
      <c r="AU579" s="50"/>
      <c r="AV579" s="50"/>
      <c r="AW579" s="50"/>
      <c r="AX579" s="50"/>
      <c r="AY579" s="50"/>
      <c r="AZ579" s="50"/>
      <c r="BA579" s="50"/>
      <c r="BB579" s="50"/>
      <c r="BC579" s="50"/>
      <c r="BD579" s="50"/>
      <c r="BE579" s="50"/>
      <c r="BF579" s="50"/>
      <c r="BG579" s="50"/>
      <c r="BH579" s="50"/>
      <c r="BI579" s="50"/>
      <c r="BJ579" s="50"/>
    </row>
    <row r="580">
      <c r="A580" s="50"/>
      <c r="B580" s="61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  <c r="AJ580" s="50"/>
      <c r="AK580" s="50"/>
      <c r="AL580" s="50"/>
      <c r="AM580" s="50"/>
      <c r="AN580" s="50"/>
      <c r="AO580" s="50"/>
      <c r="AP580" s="50"/>
      <c r="AQ580" s="50"/>
      <c r="AR580" s="50"/>
      <c r="AS580" s="50"/>
      <c r="AT580" s="50"/>
      <c r="AU580" s="50"/>
      <c r="AV580" s="50"/>
      <c r="AW580" s="50"/>
      <c r="AX580" s="50"/>
      <c r="AY580" s="50"/>
      <c r="AZ580" s="50"/>
      <c r="BA580" s="50"/>
      <c r="BB580" s="50"/>
      <c r="BC580" s="50"/>
      <c r="BD580" s="50"/>
      <c r="BE580" s="50"/>
      <c r="BF580" s="50"/>
      <c r="BG580" s="50"/>
      <c r="BH580" s="50"/>
      <c r="BI580" s="50"/>
      <c r="BJ580" s="50"/>
    </row>
    <row r="581">
      <c r="A581" s="50"/>
      <c r="B581" s="61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  <c r="AQ581" s="50"/>
      <c r="AR581" s="50"/>
      <c r="AS581" s="50"/>
      <c r="AT581" s="50"/>
      <c r="AU581" s="50"/>
      <c r="AV581" s="50"/>
      <c r="AW581" s="50"/>
      <c r="AX581" s="50"/>
      <c r="AY581" s="50"/>
      <c r="AZ581" s="50"/>
      <c r="BA581" s="50"/>
      <c r="BB581" s="50"/>
      <c r="BC581" s="50"/>
      <c r="BD581" s="50"/>
      <c r="BE581" s="50"/>
      <c r="BF581" s="50"/>
      <c r="BG581" s="50"/>
      <c r="BH581" s="50"/>
      <c r="BI581" s="50"/>
      <c r="BJ581" s="50"/>
    </row>
    <row r="582">
      <c r="A582" s="50"/>
      <c r="B582" s="61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50"/>
      <c r="AN582" s="50"/>
      <c r="AO582" s="50"/>
      <c r="AP582" s="50"/>
      <c r="AQ582" s="50"/>
      <c r="AR582" s="50"/>
      <c r="AS582" s="50"/>
      <c r="AT582" s="50"/>
      <c r="AU582" s="50"/>
      <c r="AV582" s="50"/>
      <c r="AW582" s="50"/>
      <c r="AX582" s="50"/>
      <c r="AY582" s="50"/>
      <c r="AZ582" s="50"/>
      <c r="BA582" s="50"/>
      <c r="BB582" s="50"/>
      <c r="BC582" s="50"/>
      <c r="BD582" s="50"/>
      <c r="BE582" s="50"/>
      <c r="BF582" s="50"/>
      <c r="BG582" s="50"/>
      <c r="BH582" s="50"/>
      <c r="BI582" s="50"/>
      <c r="BJ582" s="50"/>
    </row>
    <row r="583">
      <c r="A583" s="50"/>
      <c r="B583" s="61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0"/>
      <c r="AN583" s="50"/>
      <c r="AO583" s="50"/>
      <c r="AP583" s="50"/>
      <c r="AQ583" s="50"/>
      <c r="AR583" s="50"/>
      <c r="AS583" s="50"/>
      <c r="AT583" s="50"/>
      <c r="AU583" s="50"/>
      <c r="AV583" s="50"/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  <c r="BG583" s="50"/>
      <c r="BH583" s="50"/>
      <c r="BI583" s="50"/>
      <c r="BJ583" s="50"/>
    </row>
    <row r="584">
      <c r="A584" s="50"/>
      <c r="B584" s="61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0"/>
      <c r="AN584" s="50"/>
      <c r="AO584" s="50"/>
      <c r="AP584" s="50"/>
      <c r="AQ584" s="50"/>
      <c r="AR584" s="50"/>
      <c r="AS584" s="50"/>
      <c r="AT584" s="50"/>
      <c r="AU584" s="50"/>
      <c r="AV584" s="50"/>
      <c r="AW584" s="50"/>
      <c r="AX584" s="50"/>
      <c r="AY584" s="50"/>
      <c r="AZ584" s="50"/>
      <c r="BA584" s="50"/>
      <c r="BB584" s="50"/>
      <c r="BC584" s="50"/>
      <c r="BD584" s="50"/>
      <c r="BE584" s="50"/>
      <c r="BF584" s="50"/>
      <c r="BG584" s="50"/>
      <c r="BH584" s="50"/>
      <c r="BI584" s="50"/>
      <c r="BJ584" s="50"/>
    </row>
    <row r="585">
      <c r="A585" s="50"/>
      <c r="B585" s="61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/>
      <c r="BE585" s="50"/>
      <c r="BF585" s="50"/>
      <c r="BG585" s="50"/>
      <c r="BH585" s="50"/>
      <c r="BI585" s="50"/>
      <c r="BJ585" s="50"/>
    </row>
    <row r="586">
      <c r="A586" s="50"/>
      <c r="B586" s="61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50"/>
      <c r="AR586" s="50"/>
      <c r="AS586" s="50"/>
      <c r="AT586" s="50"/>
      <c r="AU586" s="50"/>
      <c r="AV586" s="50"/>
      <c r="AW586" s="50"/>
      <c r="AX586" s="50"/>
      <c r="AY586" s="50"/>
      <c r="AZ586" s="50"/>
      <c r="BA586" s="50"/>
      <c r="BB586" s="50"/>
      <c r="BC586" s="50"/>
      <c r="BD586" s="50"/>
      <c r="BE586" s="50"/>
      <c r="BF586" s="50"/>
      <c r="BG586" s="50"/>
      <c r="BH586" s="50"/>
      <c r="BI586" s="50"/>
      <c r="BJ586" s="50"/>
    </row>
    <row r="587">
      <c r="A587" s="50"/>
      <c r="B587" s="61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0"/>
      <c r="BE587" s="50"/>
      <c r="BF587" s="50"/>
      <c r="BG587" s="50"/>
      <c r="BH587" s="50"/>
      <c r="BI587" s="50"/>
      <c r="BJ587" s="50"/>
    </row>
    <row r="588">
      <c r="A588" s="50"/>
      <c r="B588" s="61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  <c r="BG588" s="50"/>
      <c r="BH588" s="50"/>
      <c r="BI588" s="50"/>
      <c r="BJ588" s="50"/>
    </row>
    <row r="589">
      <c r="A589" s="50"/>
      <c r="B589" s="61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/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/>
      <c r="BB589" s="50"/>
      <c r="BC589" s="50"/>
      <c r="BD589" s="50"/>
      <c r="BE589" s="50"/>
      <c r="BF589" s="50"/>
      <c r="BG589" s="50"/>
      <c r="BH589" s="50"/>
      <c r="BI589" s="50"/>
      <c r="BJ589" s="50"/>
    </row>
    <row r="590">
      <c r="A590" s="50"/>
      <c r="B590" s="61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  <c r="AQ590" s="50"/>
      <c r="AR590" s="50"/>
      <c r="AS590" s="50"/>
      <c r="AT590" s="50"/>
      <c r="AU590" s="50"/>
      <c r="AV590" s="50"/>
      <c r="AW590" s="50"/>
      <c r="AX590" s="50"/>
      <c r="AY590" s="50"/>
      <c r="AZ590" s="50"/>
      <c r="BA590" s="50"/>
      <c r="BB590" s="50"/>
      <c r="BC590" s="50"/>
      <c r="BD590" s="50"/>
      <c r="BE590" s="50"/>
      <c r="BF590" s="50"/>
      <c r="BG590" s="50"/>
      <c r="BH590" s="50"/>
      <c r="BI590" s="50"/>
      <c r="BJ590" s="50"/>
    </row>
    <row r="591">
      <c r="A591" s="50"/>
      <c r="B591" s="61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50"/>
      <c r="AR591" s="50"/>
      <c r="AS591" s="50"/>
      <c r="AT591" s="50"/>
      <c r="AU591" s="50"/>
      <c r="AV591" s="50"/>
      <c r="AW591" s="50"/>
      <c r="AX591" s="50"/>
      <c r="AY591" s="50"/>
      <c r="AZ591" s="50"/>
      <c r="BA591" s="50"/>
      <c r="BB591" s="50"/>
      <c r="BC591" s="50"/>
      <c r="BD591" s="50"/>
      <c r="BE591" s="50"/>
      <c r="BF591" s="50"/>
      <c r="BG591" s="50"/>
      <c r="BH591" s="50"/>
      <c r="BI591" s="50"/>
      <c r="BJ591" s="50"/>
    </row>
    <row r="592">
      <c r="A592" s="50"/>
      <c r="B592" s="61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  <c r="AQ592" s="50"/>
      <c r="AR592" s="50"/>
      <c r="AS592" s="50"/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  <c r="BG592" s="50"/>
      <c r="BH592" s="50"/>
      <c r="BI592" s="50"/>
      <c r="BJ592" s="50"/>
    </row>
    <row r="593">
      <c r="A593" s="50"/>
      <c r="B593" s="61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50"/>
      <c r="AL593" s="50"/>
      <c r="AM593" s="50"/>
      <c r="AN593" s="50"/>
      <c r="AO593" s="50"/>
      <c r="AP593" s="50"/>
      <c r="AQ593" s="50"/>
      <c r="AR593" s="50"/>
      <c r="AS593" s="50"/>
      <c r="AT593" s="50"/>
      <c r="AU593" s="50"/>
      <c r="AV593" s="50"/>
      <c r="AW593" s="50"/>
      <c r="AX593" s="50"/>
      <c r="AY593" s="50"/>
      <c r="AZ593" s="50"/>
      <c r="BA593" s="50"/>
      <c r="BB593" s="50"/>
      <c r="BC593" s="50"/>
      <c r="BD593" s="50"/>
      <c r="BE593" s="50"/>
      <c r="BF593" s="50"/>
      <c r="BG593" s="50"/>
      <c r="BH593" s="50"/>
      <c r="BI593" s="50"/>
      <c r="BJ593" s="50"/>
    </row>
    <row r="594">
      <c r="A594" s="50"/>
      <c r="B594" s="61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  <c r="AJ594" s="50"/>
      <c r="AK594" s="50"/>
      <c r="AL594" s="50"/>
      <c r="AM594" s="50"/>
      <c r="AN594" s="50"/>
      <c r="AO594" s="50"/>
      <c r="AP594" s="50"/>
      <c r="AQ594" s="50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0"/>
      <c r="BE594" s="50"/>
      <c r="BF594" s="50"/>
      <c r="BG594" s="50"/>
      <c r="BH594" s="50"/>
      <c r="BI594" s="50"/>
      <c r="BJ594" s="50"/>
    </row>
    <row r="595">
      <c r="A595" s="50"/>
      <c r="B595" s="61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  <c r="AL595" s="50"/>
      <c r="AM595" s="50"/>
      <c r="AN595" s="50"/>
      <c r="AO595" s="50"/>
      <c r="AP595" s="50"/>
      <c r="AQ595" s="50"/>
      <c r="AR595" s="50"/>
      <c r="AS595" s="50"/>
      <c r="AT595" s="50"/>
      <c r="AU595" s="50"/>
      <c r="AV595" s="50"/>
      <c r="AW595" s="50"/>
      <c r="AX595" s="50"/>
      <c r="AY595" s="50"/>
      <c r="AZ595" s="50"/>
      <c r="BA595" s="50"/>
      <c r="BB595" s="50"/>
      <c r="BC595" s="50"/>
      <c r="BD595" s="50"/>
      <c r="BE595" s="50"/>
      <c r="BF595" s="50"/>
      <c r="BG595" s="50"/>
      <c r="BH595" s="50"/>
      <c r="BI595" s="50"/>
      <c r="BJ595" s="50"/>
    </row>
    <row r="596">
      <c r="A596" s="50"/>
      <c r="B596" s="61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  <c r="AL596" s="50"/>
      <c r="AM596" s="50"/>
      <c r="AN596" s="50"/>
      <c r="AO596" s="50"/>
      <c r="AP596" s="50"/>
      <c r="AQ596" s="50"/>
      <c r="AR596" s="50"/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/>
      <c r="BE596" s="50"/>
      <c r="BF596" s="50"/>
      <c r="BG596" s="50"/>
      <c r="BH596" s="50"/>
      <c r="BI596" s="50"/>
      <c r="BJ596" s="50"/>
    </row>
    <row r="597">
      <c r="A597" s="50"/>
      <c r="B597" s="61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  <c r="AL597" s="50"/>
      <c r="AM597" s="50"/>
      <c r="AN597" s="50"/>
      <c r="AO597" s="50"/>
      <c r="AP597" s="50"/>
      <c r="AQ597" s="50"/>
      <c r="AR597" s="50"/>
      <c r="AS597" s="50"/>
      <c r="AT597" s="50"/>
      <c r="AU597" s="50"/>
      <c r="AV597" s="50"/>
      <c r="AW597" s="50"/>
      <c r="AX597" s="50"/>
      <c r="AY597" s="50"/>
      <c r="AZ597" s="50"/>
      <c r="BA597" s="50"/>
      <c r="BB597" s="50"/>
      <c r="BC597" s="50"/>
      <c r="BD597" s="50"/>
      <c r="BE597" s="50"/>
      <c r="BF597" s="50"/>
      <c r="BG597" s="50"/>
      <c r="BH597" s="50"/>
      <c r="BI597" s="50"/>
      <c r="BJ597" s="50"/>
    </row>
    <row r="598">
      <c r="A598" s="50"/>
      <c r="B598" s="61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  <c r="AL598" s="50"/>
      <c r="AM598" s="50"/>
      <c r="AN598" s="50"/>
      <c r="AO598" s="50"/>
      <c r="AP598" s="50"/>
      <c r="AQ598" s="50"/>
      <c r="AR598" s="50"/>
      <c r="AS598" s="50"/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50"/>
      <c r="BH598" s="50"/>
      <c r="BI598" s="50"/>
      <c r="BJ598" s="50"/>
    </row>
    <row r="599">
      <c r="A599" s="50"/>
      <c r="B599" s="61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  <c r="AL599" s="50"/>
      <c r="AM599" s="50"/>
      <c r="AN599" s="50"/>
      <c r="AO599" s="50"/>
      <c r="AP599" s="50"/>
      <c r="AQ599" s="50"/>
      <c r="AR599" s="50"/>
      <c r="AS599" s="50"/>
      <c r="AT599" s="50"/>
      <c r="AU599" s="50"/>
      <c r="AV599" s="50"/>
      <c r="AW599" s="50"/>
      <c r="AX599" s="50"/>
      <c r="AY599" s="50"/>
      <c r="AZ599" s="50"/>
      <c r="BA599" s="50"/>
      <c r="BB599" s="50"/>
      <c r="BC599" s="50"/>
      <c r="BD599" s="50"/>
      <c r="BE599" s="50"/>
      <c r="BF599" s="50"/>
      <c r="BG599" s="50"/>
      <c r="BH599" s="50"/>
      <c r="BI599" s="50"/>
      <c r="BJ599" s="50"/>
    </row>
    <row r="600">
      <c r="A600" s="50"/>
      <c r="B600" s="61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  <c r="AL600" s="50"/>
      <c r="AM600" s="50"/>
      <c r="AN600" s="50"/>
      <c r="AO600" s="50"/>
      <c r="AP600" s="50"/>
      <c r="AQ600" s="50"/>
      <c r="AR600" s="50"/>
      <c r="AS600" s="50"/>
      <c r="AT600" s="50"/>
      <c r="AU600" s="50"/>
      <c r="AV600" s="50"/>
      <c r="AW600" s="50"/>
      <c r="AX600" s="50"/>
      <c r="AY600" s="50"/>
      <c r="AZ600" s="50"/>
      <c r="BA600" s="50"/>
      <c r="BB600" s="50"/>
      <c r="BC600" s="50"/>
      <c r="BD600" s="50"/>
      <c r="BE600" s="50"/>
      <c r="BF600" s="50"/>
      <c r="BG600" s="50"/>
      <c r="BH600" s="50"/>
      <c r="BI600" s="50"/>
      <c r="BJ600" s="50"/>
    </row>
    <row r="601">
      <c r="A601" s="50"/>
      <c r="B601" s="61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50"/>
      <c r="AU601" s="50"/>
      <c r="AV601" s="50"/>
      <c r="AW601" s="50"/>
      <c r="AX601" s="50"/>
      <c r="AY601" s="50"/>
      <c r="AZ601" s="50"/>
      <c r="BA601" s="50"/>
      <c r="BB601" s="50"/>
      <c r="BC601" s="50"/>
      <c r="BD601" s="50"/>
      <c r="BE601" s="50"/>
      <c r="BF601" s="50"/>
      <c r="BG601" s="50"/>
      <c r="BH601" s="50"/>
      <c r="BI601" s="50"/>
      <c r="BJ601" s="50"/>
    </row>
    <row r="602">
      <c r="A602" s="50"/>
      <c r="B602" s="61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  <c r="AQ602" s="50"/>
      <c r="AR602" s="50"/>
      <c r="AS602" s="50"/>
      <c r="AT602" s="50"/>
      <c r="AU602" s="50"/>
      <c r="AV602" s="50"/>
      <c r="AW602" s="50"/>
      <c r="AX602" s="50"/>
      <c r="AY602" s="50"/>
      <c r="AZ602" s="50"/>
      <c r="BA602" s="50"/>
      <c r="BB602" s="50"/>
      <c r="BC602" s="50"/>
      <c r="BD602" s="50"/>
      <c r="BE602" s="50"/>
      <c r="BF602" s="50"/>
      <c r="BG602" s="50"/>
      <c r="BH602" s="50"/>
      <c r="BI602" s="50"/>
      <c r="BJ602" s="50"/>
    </row>
    <row r="603">
      <c r="A603" s="50"/>
      <c r="B603" s="61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0"/>
      <c r="BE603" s="50"/>
      <c r="BF603" s="50"/>
      <c r="BG603" s="50"/>
      <c r="BH603" s="50"/>
      <c r="BI603" s="50"/>
      <c r="BJ603" s="50"/>
    </row>
    <row r="604">
      <c r="A604" s="50"/>
      <c r="B604" s="61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/>
      <c r="AR604" s="50"/>
      <c r="AS604" s="50"/>
      <c r="AT604" s="50"/>
      <c r="AU604" s="50"/>
      <c r="AV604" s="50"/>
      <c r="AW604" s="50"/>
      <c r="AX604" s="50"/>
      <c r="AY604" s="50"/>
      <c r="AZ604" s="50"/>
      <c r="BA604" s="50"/>
      <c r="BB604" s="50"/>
      <c r="BC604" s="50"/>
      <c r="BD604" s="50"/>
      <c r="BE604" s="50"/>
      <c r="BF604" s="50"/>
      <c r="BG604" s="50"/>
      <c r="BH604" s="50"/>
      <c r="BI604" s="50"/>
      <c r="BJ604" s="50"/>
    </row>
    <row r="605">
      <c r="A605" s="50"/>
      <c r="B605" s="61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50"/>
      <c r="AU605" s="50"/>
      <c r="AV605" s="50"/>
      <c r="AW605" s="50"/>
      <c r="AX605" s="50"/>
      <c r="AY605" s="50"/>
      <c r="AZ605" s="50"/>
      <c r="BA605" s="50"/>
      <c r="BB605" s="50"/>
      <c r="BC605" s="50"/>
      <c r="BD605" s="50"/>
      <c r="BE605" s="50"/>
      <c r="BF605" s="50"/>
      <c r="BG605" s="50"/>
      <c r="BH605" s="50"/>
      <c r="BI605" s="50"/>
      <c r="BJ605" s="50"/>
    </row>
    <row r="606">
      <c r="A606" s="50"/>
      <c r="B606" s="61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  <c r="AQ606" s="50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0"/>
      <c r="BE606" s="50"/>
      <c r="BF606" s="50"/>
      <c r="BG606" s="50"/>
      <c r="BH606" s="50"/>
      <c r="BI606" s="50"/>
      <c r="BJ606" s="50"/>
    </row>
    <row r="607">
      <c r="A607" s="50"/>
      <c r="B607" s="61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50"/>
      <c r="AU607" s="50"/>
      <c r="AV607" s="50"/>
      <c r="AW607" s="50"/>
      <c r="AX607" s="50"/>
      <c r="AY607" s="50"/>
      <c r="AZ607" s="50"/>
      <c r="BA607" s="50"/>
      <c r="BB607" s="50"/>
      <c r="BC607" s="50"/>
      <c r="BD607" s="50"/>
      <c r="BE607" s="50"/>
      <c r="BF607" s="50"/>
      <c r="BG607" s="50"/>
      <c r="BH607" s="50"/>
      <c r="BI607" s="50"/>
      <c r="BJ607" s="50"/>
    </row>
    <row r="608">
      <c r="A608" s="50"/>
      <c r="B608" s="61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/>
      <c r="AU608" s="50"/>
      <c r="AV608" s="50"/>
      <c r="AW608" s="50"/>
      <c r="AX608" s="50"/>
      <c r="AY608" s="50"/>
      <c r="AZ608" s="50"/>
      <c r="BA608" s="50"/>
      <c r="BB608" s="50"/>
      <c r="BC608" s="50"/>
      <c r="BD608" s="50"/>
      <c r="BE608" s="50"/>
      <c r="BF608" s="50"/>
      <c r="BG608" s="50"/>
      <c r="BH608" s="50"/>
      <c r="BI608" s="50"/>
      <c r="BJ608" s="50"/>
    </row>
    <row r="609">
      <c r="A609" s="50"/>
      <c r="B609" s="61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  <c r="AV609" s="50"/>
      <c r="AW609" s="50"/>
      <c r="AX609" s="50"/>
      <c r="AY609" s="50"/>
      <c r="AZ609" s="50"/>
      <c r="BA609" s="50"/>
      <c r="BB609" s="50"/>
      <c r="BC609" s="50"/>
      <c r="BD609" s="50"/>
      <c r="BE609" s="50"/>
      <c r="BF609" s="50"/>
      <c r="BG609" s="50"/>
      <c r="BH609" s="50"/>
      <c r="BI609" s="50"/>
      <c r="BJ609" s="50"/>
    </row>
    <row r="610">
      <c r="A610" s="50"/>
      <c r="B610" s="61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50"/>
      <c r="AU610" s="50"/>
      <c r="AV610" s="50"/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50"/>
      <c r="BH610" s="50"/>
      <c r="BI610" s="50"/>
      <c r="BJ610" s="50"/>
    </row>
    <row r="611">
      <c r="A611" s="50"/>
      <c r="B611" s="61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  <c r="AV611" s="50"/>
      <c r="AW611" s="50"/>
      <c r="AX611" s="50"/>
      <c r="AY611" s="50"/>
      <c r="AZ611" s="50"/>
      <c r="BA611" s="50"/>
      <c r="BB611" s="50"/>
      <c r="BC611" s="50"/>
      <c r="BD611" s="50"/>
      <c r="BE611" s="50"/>
      <c r="BF611" s="50"/>
      <c r="BG611" s="50"/>
      <c r="BH611" s="50"/>
      <c r="BI611" s="50"/>
      <c r="BJ611" s="50"/>
    </row>
    <row r="612">
      <c r="A612" s="50"/>
      <c r="B612" s="61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50"/>
      <c r="AU612" s="50"/>
      <c r="AV612" s="50"/>
      <c r="AW612" s="50"/>
      <c r="AX612" s="50"/>
      <c r="AY612" s="50"/>
      <c r="AZ612" s="50"/>
      <c r="BA612" s="50"/>
      <c r="BB612" s="50"/>
      <c r="BC612" s="50"/>
      <c r="BD612" s="50"/>
      <c r="BE612" s="50"/>
      <c r="BF612" s="50"/>
      <c r="BG612" s="50"/>
      <c r="BH612" s="50"/>
      <c r="BI612" s="50"/>
      <c r="BJ612" s="50"/>
    </row>
    <row r="613">
      <c r="A613" s="50"/>
      <c r="B613" s="61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/>
      <c r="AR613" s="50"/>
      <c r="AS613" s="50"/>
      <c r="AT613" s="50"/>
      <c r="AU613" s="50"/>
      <c r="AV613" s="50"/>
      <c r="AW613" s="50"/>
      <c r="AX613" s="50"/>
      <c r="AY613" s="50"/>
      <c r="AZ613" s="50"/>
      <c r="BA613" s="50"/>
      <c r="BB613" s="50"/>
      <c r="BC613" s="50"/>
      <c r="BD613" s="50"/>
      <c r="BE613" s="50"/>
      <c r="BF613" s="50"/>
      <c r="BG613" s="50"/>
      <c r="BH613" s="50"/>
      <c r="BI613" s="50"/>
      <c r="BJ613" s="50"/>
    </row>
    <row r="614">
      <c r="A614" s="50"/>
      <c r="B614" s="61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0"/>
      <c r="BE614" s="50"/>
      <c r="BF614" s="50"/>
      <c r="BG614" s="50"/>
      <c r="BH614" s="50"/>
      <c r="BI614" s="50"/>
      <c r="BJ614" s="50"/>
    </row>
    <row r="615">
      <c r="A615" s="50"/>
      <c r="B615" s="61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50"/>
      <c r="AU615" s="50"/>
      <c r="AV615" s="50"/>
      <c r="AW615" s="50"/>
      <c r="AX615" s="50"/>
      <c r="AY615" s="50"/>
      <c r="AZ615" s="50"/>
      <c r="BA615" s="50"/>
      <c r="BB615" s="50"/>
      <c r="BC615" s="50"/>
      <c r="BD615" s="50"/>
      <c r="BE615" s="50"/>
      <c r="BF615" s="50"/>
      <c r="BG615" s="50"/>
      <c r="BH615" s="50"/>
      <c r="BI615" s="50"/>
      <c r="BJ615" s="50"/>
    </row>
    <row r="616">
      <c r="A616" s="50"/>
      <c r="B616" s="61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/>
      <c r="AV616" s="50"/>
      <c r="AW616" s="50"/>
      <c r="AX616" s="50"/>
      <c r="AY616" s="50"/>
      <c r="AZ616" s="50"/>
      <c r="BA616" s="50"/>
      <c r="BB616" s="50"/>
      <c r="BC616" s="50"/>
      <c r="BD616" s="50"/>
      <c r="BE616" s="50"/>
      <c r="BF616" s="50"/>
      <c r="BG616" s="50"/>
      <c r="BH616" s="50"/>
      <c r="BI616" s="50"/>
      <c r="BJ616" s="50"/>
    </row>
    <row r="617">
      <c r="A617" s="50"/>
      <c r="B617" s="61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  <c r="AV617" s="50"/>
      <c r="AW617" s="50"/>
      <c r="AX617" s="50"/>
      <c r="AY617" s="50"/>
      <c r="AZ617" s="50"/>
      <c r="BA617" s="50"/>
      <c r="BB617" s="50"/>
      <c r="BC617" s="50"/>
      <c r="BD617" s="50"/>
      <c r="BE617" s="50"/>
      <c r="BF617" s="50"/>
      <c r="BG617" s="50"/>
      <c r="BH617" s="50"/>
      <c r="BI617" s="50"/>
      <c r="BJ617" s="50"/>
    </row>
    <row r="618">
      <c r="A618" s="50"/>
      <c r="B618" s="61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/>
      <c r="AV618" s="50"/>
      <c r="AW618" s="50"/>
      <c r="AX618" s="50"/>
      <c r="AY618" s="50"/>
      <c r="AZ618" s="50"/>
      <c r="BA618" s="50"/>
      <c r="BB618" s="50"/>
      <c r="BC618" s="50"/>
      <c r="BD618" s="50"/>
      <c r="BE618" s="50"/>
      <c r="BF618" s="50"/>
      <c r="BG618" s="50"/>
      <c r="BH618" s="50"/>
      <c r="BI618" s="50"/>
      <c r="BJ618" s="50"/>
    </row>
    <row r="619">
      <c r="A619" s="50"/>
      <c r="B619" s="61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/>
      <c r="AV619" s="50"/>
      <c r="AW619" s="50"/>
      <c r="AX619" s="50"/>
      <c r="AY619" s="50"/>
      <c r="AZ619" s="50"/>
      <c r="BA619" s="50"/>
      <c r="BB619" s="50"/>
      <c r="BC619" s="50"/>
      <c r="BD619" s="50"/>
      <c r="BE619" s="50"/>
      <c r="BF619" s="50"/>
      <c r="BG619" s="50"/>
      <c r="BH619" s="50"/>
      <c r="BI619" s="50"/>
      <c r="BJ619" s="50"/>
    </row>
    <row r="620">
      <c r="A620" s="50"/>
      <c r="B620" s="61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  <c r="AL620" s="50"/>
      <c r="AM620" s="50"/>
      <c r="AN620" s="50"/>
      <c r="AO620" s="50"/>
      <c r="AP620" s="50"/>
      <c r="AQ620" s="50"/>
      <c r="AR620" s="50"/>
      <c r="AS620" s="50"/>
      <c r="AT620" s="50"/>
      <c r="AU620" s="50"/>
      <c r="AV620" s="50"/>
      <c r="AW620" s="50"/>
      <c r="AX620" s="50"/>
      <c r="AY620" s="50"/>
      <c r="AZ620" s="50"/>
      <c r="BA620" s="50"/>
      <c r="BB620" s="50"/>
      <c r="BC620" s="50"/>
      <c r="BD620" s="50"/>
      <c r="BE620" s="50"/>
      <c r="BF620" s="50"/>
      <c r="BG620" s="50"/>
      <c r="BH620" s="50"/>
      <c r="BI620" s="50"/>
      <c r="BJ620" s="50"/>
    </row>
    <row r="621">
      <c r="A621" s="50"/>
      <c r="B621" s="61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50"/>
      <c r="BC621" s="50"/>
      <c r="BD621" s="50"/>
      <c r="BE621" s="50"/>
      <c r="BF621" s="50"/>
      <c r="BG621" s="50"/>
      <c r="BH621" s="50"/>
      <c r="BI621" s="50"/>
      <c r="BJ621" s="50"/>
    </row>
    <row r="622">
      <c r="A622" s="50"/>
      <c r="B622" s="61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50"/>
      <c r="AR622" s="50"/>
      <c r="AS622" s="50"/>
      <c r="AT622" s="50"/>
      <c r="AU622" s="50"/>
      <c r="AV622" s="50"/>
      <c r="AW622" s="50"/>
      <c r="AX622" s="50"/>
      <c r="AY622" s="50"/>
      <c r="AZ622" s="50"/>
      <c r="BA622" s="50"/>
      <c r="BB622" s="50"/>
      <c r="BC622" s="50"/>
      <c r="BD622" s="50"/>
      <c r="BE622" s="50"/>
      <c r="BF622" s="50"/>
      <c r="BG622" s="50"/>
      <c r="BH622" s="50"/>
      <c r="BI622" s="50"/>
      <c r="BJ622" s="50"/>
    </row>
    <row r="623">
      <c r="A623" s="50"/>
      <c r="B623" s="61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/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/>
      <c r="BJ623" s="50"/>
    </row>
    <row r="624">
      <c r="A624" s="50"/>
      <c r="B624" s="61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/>
      <c r="AW624" s="50"/>
      <c r="AX624" s="50"/>
      <c r="AY624" s="50"/>
      <c r="AZ624" s="50"/>
      <c r="BA624" s="50"/>
      <c r="BB624" s="50"/>
      <c r="BC624" s="50"/>
      <c r="BD624" s="50"/>
      <c r="BE624" s="50"/>
      <c r="BF624" s="50"/>
      <c r="BG624" s="50"/>
      <c r="BH624" s="50"/>
      <c r="BI624" s="50"/>
      <c r="BJ624" s="50"/>
    </row>
    <row r="625">
      <c r="A625" s="50"/>
      <c r="B625" s="61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/>
      <c r="BJ625" s="50"/>
    </row>
    <row r="626">
      <c r="A626" s="50"/>
      <c r="B626" s="61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/>
      <c r="AW626" s="50"/>
      <c r="AX626" s="50"/>
      <c r="AY626" s="50"/>
      <c r="AZ626" s="50"/>
      <c r="BA626" s="50"/>
      <c r="BB626" s="50"/>
      <c r="BC626" s="50"/>
      <c r="BD626" s="50"/>
      <c r="BE626" s="50"/>
      <c r="BF626" s="50"/>
      <c r="BG626" s="50"/>
      <c r="BH626" s="50"/>
      <c r="BI626" s="50"/>
      <c r="BJ626" s="50"/>
    </row>
    <row r="627">
      <c r="A627" s="50"/>
      <c r="B627" s="61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0"/>
      <c r="BE627" s="50"/>
      <c r="BF627" s="50"/>
      <c r="BG627" s="50"/>
      <c r="BH627" s="50"/>
      <c r="BI627" s="50"/>
      <c r="BJ627" s="50"/>
    </row>
    <row r="628">
      <c r="A628" s="50"/>
      <c r="B628" s="61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0"/>
      <c r="BE628" s="50"/>
      <c r="BF628" s="50"/>
      <c r="BG628" s="50"/>
      <c r="BH628" s="50"/>
      <c r="BI628" s="50"/>
      <c r="BJ628" s="50"/>
    </row>
    <row r="629">
      <c r="A629" s="50"/>
      <c r="B629" s="61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0"/>
      <c r="BE629" s="50"/>
      <c r="BF629" s="50"/>
      <c r="BG629" s="50"/>
      <c r="BH629" s="50"/>
      <c r="BI629" s="50"/>
      <c r="BJ629" s="50"/>
    </row>
    <row r="630">
      <c r="A630" s="50"/>
      <c r="B630" s="61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  <c r="BH630" s="50"/>
      <c r="BI630" s="50"/>
      <c r="BJ630" s="50"/>
    </row>
    <row r="631">
      <c r="A631" s="50"/>
      <c r="B631" s="61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/>
      <c r="AX631" s="50"/>
      <c r="AY631" s="50"/>
      <c r="AZ631" s="50"/>
      <c r="BA631" s="50"/>
      <c r="BB631" s="50"/>
      <c r="BC631" s="50"/>
      <c r="BD631" s="50"/>
      <c r="BE631" s="50"/>
      <c r="BF631" s="50"/>
      <c r="BG631" s="50"/>
      <c r="BH631" s="50"/>
      <c r="BI631" s="50"/>
      <c r="BJ631" s="50"/>
    </row>
    <row r="632">
      <c r="A632" s="50"/>
      <c r="B632" s="61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/>
      <c r="AW632" s="50"/>
      <c r="AX632" s="50"/>
      <c r="AY632" s="50"/>
      <c r="AZ632" s="50"/>
      <c r="BA632" s="50"/>
      <c r="BB632" s="50"/>
      <c r="BC632" s="50"/>
      <c r="BD632" s="50"/>
      <c r="BE632" s="50"/>
      <c r="BF632" s="50"/>
      <c r="BG632" s="50"/>
      <c r="BH632" s="50"/>
      <c r="BI632" s="50"/>
      <c r="BJ632" s="50"/>
    </row>
    <row r="633">
      <c r="A633" s="50"/>
      <c r="B633" s="61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/>
      <c r="AX633" s="50"/>
      <c r="AY633" s="50"/>
      <c r="AZ633" s="50"/>
      <c r="BA633" s="50"/>
      <c r="BB633" s="50"/>
      <c r="BC633" s="50"/>
      <c r="BD633" s="50"/>
      <c r="BE633" s="50"/>
      <c r="BF633" s="50"/>
      <c r="BG633" s="50"/>
      <c r="BH633" s="50"/>
      <c r="BI633" s="50"/>
      <c r="BJ633" s="50"/>
    </row>
    <row r="634">
      <c r="A634" s="50"/>
      <c r="B634" s="61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/>
      <c r="BE634" s="50"/>
      <c r="BF634" s="50"/>
      <c r="BG634" s="50"/>
      <c r="BH634" s="50"/>
      <c r="BI634" s="50"/>
      <c r="BJ634" s="50"/>
    </row>
    <row r="635">
      <c r="A635" s="50"/>
      <c r="B635" s="61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/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  <c r="BI635" s="50"/>
      <c r="BJ635" s="50"/>
    </row>
    <row r="636">
      <c r="A636" s="50"/>
      <c r="B636" s="61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50"/>
      <c r="AR636" s="50"/>
      <c r="AS636" s="50"/>
      <c r="AT636" s="50"/>
      <c r="AU636" s="50"/>
      <c r="AV636" s="50"/>
      <c r="AW636" s="50"/>
      <c r="AX636" s="50"/>
      <c r="AY636" s="50"/>
      <c r="AZ636" s="50"/>
      <c r="BA636" s="50"/>
      <c r="BB636" s="50"/>
      <c r="BC636" s="50"/>
      <c r="BD636" s="50"/>
      <c r="BE636" s="50"/>
      <c r="BF636" s="50"/>
      <c r="BG636" s="50"/>
      <c r="BH636" s="50"/>
      <c r="BI636" s="50"/>
      <c r="BJ636" s="50"/>
    </row>
    <row r="637">
      <c r="A637" s="50"/>
      <c r="B637" s="61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50"/>
      <c r="AU637" s="50"/>
      <c r="AV637" s="50"/>
      <c r="AW637" s="50"/>
      <c r="AX637" s="50"/>
      <c r="AY637" s="50"/>
      <c r="AZ637" s="50"/>
      <c r="BA637" s="50"/>
      <c r="BB637" s="50"/>
      <c r="BC637" s="50"/>
      <c r="BD637" s="50"/>
      <c r="BE637" s="50"/>
      <c r="BF637" s="50"/>
      <c r="BG637" s="50"/>
      <c r="BH637" s="50"/>
      <c r="BI637" s="50"/>
      <c r="BJ637" s="50"/>
    </row>
    <row r="638">
      <c r="A638" s="50"/>
      <c r="B638" s="61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/>
      <c r="BE638" s="50"/>
      <c r="BF638" s="50"/>
      <c r="BG638" s="50"/>
      <c r="BH638" s="50"/>
      <c r="BI638" s="50"/>
      <c r="BJ638" s="50"/>
    </row>
    <row r="639">
      <c r="A639" s="50"/>
      <c r="B639" s="61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/>
      <c r="AY639" s="50"/>
      <c r="AZ639" s="50"/>
      <c r="BA639" s="50"/>
      <c r="BB639" s="50"/>
      <c r="BC639" s="50"/>
      <c r="BD639" s="50"/>
      <c r="BE639" s="50"/>
      <c r="BF639" s="50"/>
      <c r="BG639" s="50"/>
      <c r="BH639" s="50"/>
      <c r="BI639" s="50"/>
      <c r="BJ639" s="50"/>
    </row>
    <row r="640">
      <c r="A640" s="50"/>
      <c r="B640" s="61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/>
      <c r="AW640" s="50"/>
      <c r="AX640" s="50"/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  <c r="BI640" s="50"/>
      <c r="BJ640" s="50"/>
    </row>
    <row r="641">
      <c r="A641" s="50"/>
      <c r="B641" s="61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/>
      <c r="AW641" s="50"/>
      <c r="AX641" s="50"/>
      <c r="AY641" s="50"/>
      <c r="AZ641" s="50"/>
      <c r="BA641" s="50"/>
      <c r="BB641" s="50"/>
      <c r="BC641" s="50"/>
      <c r="BD641" s="50"/>
      <c r="BE641" s="50"/>
      <c r="BF641" s="50"/>
      <c r="BG641" s="50"/>
      <c r="BH641" s="50"/>
      <c r="BI641" s="50"/>
      <c r="BJ641" s="50"/>
    </row>
    <row r="642">
      <c r="A642" s="50"/>
      <c r="B642" s="61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/>
      <c r="BJ642" s="50"/>
    </row>
    <row r="643">
      <c r="A643" s="50"/>
      <c r="B643" s="61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/>
      <c r="AR643" s="50"/>
      <c r="AS643" s="50"/>
      <c r="AT643" s="50"/>
      <c r="AU643" s="50"/>
      <c r="AV643" s="50"/>
      <c r="AW643" s="50"/>
      <c r="AX643" s="50"/>
      <c r="AY643" s="50"/>
      <c r="AZ643" s="50"/>
      <c r="BA643" s="50"/>
      <c r="BB643" s="50"/>
      <c r="BC643" s="50"/>
      <c r="BD643" s="50"/>
      <c r="BE643" s="50"/>
      <c r="BF643" s="50"/>
      <c r="BG643" s="50"/>
      <c r="BH643" s="50"/>
      <c r="BI643" s="50"/>
      <c r="BJ643" s="50"/>
    </row>
    <row r="644">
      <c r="A644" s="50"/>
      <c r="B644" s="61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50"/>
      <c r="AR644" s="50"/>
      <c r="AS644" s="50"/>
      <c r="AT644" s="50"/>
      <c r="AU644" s="50"/>
      <c r="AV644" s="50"/>
      <c r="AW644" s="50"/>
      <c r="AX644" s="50"/>
      <c r="AY644" s="50"/>
      <c r="AZ644" s="50"/>
      <c r="BA644" s="50"/>
      <c r="BB644" s="50"/>
      <c r="BC644" s="50"/>
      <c r="BD644" s="50"/>
      <c r="BE644" s="50"/>
      <c r="BF644" s="50"/>
      <c r="BG644" s="50"/>
      <c r="BH644" s="50"/>
      <c r="BI644" s="50"/>
      <c r="BJ644" s="50"/>
    </row>
    <row r="645">
      <c r="A645" s="50"/>
      <c r="B645" s="61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50"/>
      <c r="AU645" s="50"/>
      <c r="AV645" s="50"/>
      <c r="AW645" s="50"/>
      <c r="AX645" s="50"/>
      <c r="AY645" s="50"/>
      <c r="AZ645" s="50"/>
      <c r="BA645" s="50"/>
      <c r="BB645" s="50"/>
      <c r="BC645" s="50"/>
      <c r="BD645" s="50"/>
      <c r="BE645" s="50"/>
      <c r="BF645" s="50"/>
      <c r="BG645" s="50"/>
      <c r="BH645" s="50"/>
      <c r="BI645" s="50"/>
      <c r="BJ645" s="50"/>
    </row>
    <row r="646">
      <c r="A646" s="50"/>
      <c r="B646" s="61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0"/>
      <c r="BE646" s="50"/>
      <c r="BF646" s="50"/>
      <c r="BG646" s="50"/>
      <c r="BH646" s="50"/>
      <c r="BI646" s="50"/>
      <c r="BJ646" s="50"/>
    </row>
    <row r="647">
      <c r="A647" s="50"/>
      <c r="B647" s="61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/>
      <c r="AZ647" s="50"/>
      <c r="BA647" s="50"/>
      <c r="BB647" s="50"/>
      <c r="BC647" s="50"/>
      <c r="BD647" s="50"/>
      <c r="BE647" s="50"/>
      <c r="BF647" s="50"/>
      <c r="BG647" s="50"/>
      <c r="BH647" s="50"/>
      <c r="BI647" s="50"/>
      <c r="BJ647" s="50"/>
    </row>
    <row r="648">
      <c r="A648" s="50"/>
      <c r="B648" s="61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/>
      <c r="AZ648" s="50"/>
      <c r="BA648" s="50"/>
      <c r="BB648" s="50"/>
      <c r="BC648" s="50"/>
      <c r="BD648" s="50"/>
      <c r="BE648" s="50"/>
      <c r="BF648" s="50"/>
      <c r="BG648" s="50"/>
      <c r="BH648" s="50"/>
      <c r="BI648" s="50"/>
      <c r="BJ648" s="50"/>
    </row>
    <row r="649">
      <c r="A649" s="50"/>
      <c r="B649" s="61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/>
      <c r="AZ649" s="50"/>
      <c r="BA649" s="50"/>
      <c r="BB649" s="50"/>
      <c r="BC649" s="50"/>
      <c r="BD649" s="50"/>
      <c r="BE649" s="50"/>
      <c r="BF649" s="50"/>
      <c r="BG649" s="50"/>
      <c r="BH649" s="50"/>
      <c r="BI649" s="50"/>
      <c r="BJ649" s="50"/>
    </row>
    <row r="650">
      <c r="A650" s="50"/>
      <c r="B650" s="61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0"/>
      <c r="BE650" s="50"/>
      <c r="BF650" s="50"/>
      <c r="BG650" s="50"/>
      <c r="BH650" s="50"/>
      <c r="BI650" s="50"/>
      <c r="BJ650" s="50"/>
    </row>
    <row r="651">
      <c r="A651" s="50"/>
      <c r="B651" s="61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0"/>
      <c r="BE651" s="50"/>
      <c r="BF651" s="50"/>
      <c r="BG651" s="50"/>
      <c r="BH651" s="50"/>
      <c r="BI651" s="50"/>
      <c r="BJ651" s="50"/>
    </row>
    <row r="652">
      <c r="A652" s="50"/>
      <c r="B652" s="61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50"/>
      <c r="AR652" s="50"/>
      <c r="AS652" s="50"/>
      <c r="AT652" s="50"/>
      <c r="AU652" s="50"/>
      <c r="AV652" s="50"/>
      <c r="AW652" s="50"/>
      <c r="AX652" s="50"/>
      <c r="AY652" s="50"/>
      <c r="AZ652" s="50"/>
      <c r="BA652" s="50"/>
      <c r="BB652" s="50"/>
      <c r="BC652" s="50"/>
      <c r="BD652" s="50"/>
      <c r="BE652" s="50"/>
      <c r="BF652" s="50"/>
      <c r="BG652" s="50"/>
      <c r="BH652" s="50"/>
      <c r="BI652" s="50"/>
      <c r="BJ652" s="50"/>
    </row>
    <row r="653">
      <c r="A653" s="50"/>
      <c r="B653" s="61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50"/>
      <c r="AU653" s="50"/>
      <c r="AV653" s="50"/>
      <c r="AW653" s="50"/>
      <c r="AX653" s="50"/>
      <c r="AY653" s="50"/>
      <c r="AZ653" s="50"/>
      <c r="BA653" s="50"/>
      <c r="BB653" s="50"/>
      <c r="BC653" s="50"/>
      <c r="BD653" s="50"/>
      <c r="BE653" s="50"/>
      <c r="BF653" s="50"/>
      <c r="BG653" s="50"/>
      <c r="BH653" s="50"/>
      <c r="BI653" s="50"/>
      <c r="BJ653" s="50"/>
    </row>
    <row r="654">
      <c r="A654" s="50"/>
      <c r="B654" s="61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/>
      <c r="BE654" s="50"/>
      <c r="BF654" s="50"/>
      <c r="BG654" s="50"/>
      <c r="BH654" s="50"/>
      <c r="BI654" s="50"/>
      <c r="BJ654" s="50"/>
    </row>
    <row r="655">
      <c r="A655" s="50"/>
      <c r="B655" s="61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0"/>
      <c r="BE655" s="50"/>
      <c r="BF655" s="50"/>
      <c r="BG655" s="50"/>
      <c r="BH655" s="50"/>
      <c r="BI655" s="50"/>
      <c r="BJ655" s="50"/>
    </row>
    <row r="656">
      <c r="A656" s="50"/>
      <c r="B656" s="61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  <c r="AL656" s="50"/>
      <c r="AM656" s="50"/>
      <c r="AN656" s="50"/>
      <c r="AO656" s="50"/>
      <c r="AP656" s="50"/>
      <c r="AQ656" s="50"/>
      <c r="AR656" s="50"/>
      <c r="AS656" s="50"/>
      <c r="AT656" s="50"/>
      <c r="AU656" s="50"/>
      <c r="AV656" s="50"/>
      <c r="AW656" s="50"/>
      <c r="AX656" s="50"/>
      <c r="AY656" s="50"/>
      <c r="AZ656" s="50"/>
      <c r="BA656" s="50"/>
      <c r="BB656" s="50"/>
      <c r="BC656" s="50"/>
      <c r="BD656" s="50"/>
      <c r="BE656" s="50"/>
      <c r="BF656" s="50"/>
      <c r="BG656" s="50"/>
      <c r="BH656" s="50"/>
      <c r="BI656" s="50"/>
      <c r="BJ656" s="50"/>
    </row>
    <row r="657">
      <c r="A657" s="50"/>
      <c r="B657" s="61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0"/>
      <c r="BE657" s="50"/>
      <c r="BF657" s="50"/>
      <c r="BG657" s="50"/>
      <c r="BH657" s="50"/>
      <c r="BI657" s="50"/>
      <c r="BJ657" s="50"/>
    </row>
    <row r="658">
      <c r="A658" s="50"/>
      <c r="B658" s="61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/>
      <c r="BA658" s="50"/>
      <c r="BB658" s="50"/>
      <c r="BC658" s="50"/>
      <c r="BD658" s="50"/>
      <c r="BE658" s="50"/>
      <c r="BF658" s="50"/>
      <c r="BG658" s="50"/>
      <c r="BH658" s="50"/>
      <c r="BI658" s="50"/>
      <c r="BJ658" s="50"/>
    </row>
    <row r="659">
      <c r="A659" s="50"/>
      <c r="B659" s="61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/>
      <c r="BA659" s="50"/>
      <c r="BB659" s="50"/>
      <c r="BC659" s="50"/>
      <c r="BD659" s="50"/>
      <c r="BE659" s="50"/>
      <c r="BF659" s="50"/>
      <c r="BG659" s="50"/>
      <c r="BH659" s="50"/>
      <c r="BI659" s="50"/>
      <c r="BJ659" s="50"/>
    </row>
    <row r="660">
      <c r="A660" s="50"/>
      <c r="B660" s="61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/>
      <c r="AR660" s="50"/>
      <c r="AS660" s="50"/>
      <c r="AT660" s="50"/>
      <c r="AU660" s="50"/>
      <c r="AV660" s="50"/>
      <c r="AW660" s="50"/>
      <c r="AX660" s="50"/>
      <c r="AY660" s="50"/>
      <c r="AZ660" s="50"/>
      <c r="BA660" s="50"/>
      <c r="BB660" s="50"/>
      <c r="BC660" s="50"/>
      <c r="BD660" s="50"/>
      <c r="BE660" s="50"/>
      <c r="BF660" s="50"/>
      <c r="BG660" s="50"/>
      <c r="BH660" s="50"/>
      <c r="BI660" s="50"/>
      <c r="BJ660" s="50"/>
    </row>
    <row r="661">
      <c r="A661" s="50"/>
      <c r="B661" s="61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0"/>
      <c r="BE661" s="50"/>
      <c r="BF661" s="50"/>
      <c r="BG661" s="50"/>
      <c r="BH661" s="50"/>
      <c r="BI661" s="50"/>
      <c r="BJ661" s="50"/>
    </row>
    <row r="662">
      <c r="A662" s="50"/>
      <c r="B662" s="61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  <c r="AV662" s="50"/>
      <c r="AW662" s="50"/>
      <c r="AX662" s="50"/>
      <c r="AY662" s="50"/>
      <c r="AZ662" s="50"/>
      <c r="BA662" s="50"/>
      <c r="BB662" s="50"/>
      <c r="BC662" s="50"/>
      <c r="BD662" s="50"/>
      <c r="BE662" s="50"/>
      <c r="BF662" s="50"/>
      <c r="BG662" s="50"/>
      <c r="BH662" s="50"/>
      <c r="BI662" s="50"/>
      <c r="BJ662" s="50"/>
    </row>
    <row r="663">
      <c r="A663" s="50"/>
      <c r="B663" s="61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/>
      <c r="BB663" s="50"/>
      <c r="BC663" s="50"/>
      <c r="BD663" s="50"/>
      <c r="BE663" s="50"/>
      <c r="BF663" s="50"/>
      <c r="BG663" s="50"/>
      <c r="BH663" s="50"/>
      <c r="BI663" s="50"/>
      <c r="BJ663" s="50"/>
    </row>
    <row r="664">
      <c r="A664" s="50"/>
      <c r="B664" s="61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/>
      <c r="BB664" s="50"/>
      <c r="BC664" s="50"/>
      <c r="BD664" s="50"/>
      <c r="BE664" s="50"/>
      <c r="BF664" s="50"/>
      <c r="BG664" s="50"/>
      <c r="BH664" s="50"/>
      <c r="BI664" s="50"/>
      <c r="BJ664" s="50"/>
    </row>
    <row r="665">
      <c r="A665" s="50"/>
      <c r="B665" s="61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/>
      <c r="BB665" s="50"/>
      <c r="BC665" s="50"/>
      <c r="BD665" s="50"/>
      <c r="BE665" s="50"/>
      <c r="BF665" s="50"/>
      <c r="BG665" s="50"/>
      <c r="BH665" s="50"/>
      <c r="BI665" s="50"/>
      <c r="BJ665" s="50"/>
    </row>
    <row r="666">
      <c r="A666" s="50"/>
      <c r="B666" s="61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  <c r="AV666" s="50"/>
      <c r="AW666" s="50"/>
      <c r="AX666" s="50"/>
      <c r="AY666" s="50"/>
      <c r="AZ666" s="50"/>
      <c r="BA666" s="50"/>
      <c r="BB666" s="50"/>
      <c r="BC666" s="50"/>
      <c r="BD666" s="50"/>
      <c r="BE666" s="50"/>
      <c r="BF666" s="50"/>
      <c r="BG666" s="50"/>
      <c r="BH666" s="50"/>
      <c r="BI666" s="50"/>
      <c r="BJ666" s="50"/>
    </row>
    <row r="667">
      <c r="A667" s="50"/>
      <c r="B667" s="61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/>
      <c r="BB667" s="50"/>
      <c r="BC667" s="50"/>
      <c r="BD667" s="50"/>
      <c r="BE667" s="50"/>
      <c r="BF667" s="50"/>
      <c r="BG667" s="50"/>
      <c r="BH667" s="50"/>
      <c r="BI667" s="50"/>
      <c r="BJ667" s="50"/>
    </row>
    <row r="668">
      <c r="A668" s="50"/>
      <c r="B668" s="61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/>
      <c r="AW668" s="50"/>
      <c r="AX668" s="50"/>
      <c r="AY668" s="50"/>
      <c r="AZ668" s="50"/>
      <c r="BA668" s="50"/>
      <c r="BB668" s="50"/>
      <c r="BC668" s="50"/>
      <c r="BD668" s="50"/>
      <c r="BE668" s="50"/>
      <c r="BF668" s="50"/>
      <c r="BG668" s="50"/>
      <c r="BH668" s="50"/>
      <c r="BI668" s="50"/>
      <c r="BJ668" s="50"/>
    </row>
    <row r="669">
      <c r="A669" s="50"/>
      <c r="B669" s="61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/>
      <c r="BB669" s="50"/>
      <c r="BC669" s="50"/>
      <c r="BD669" s="50"/>
      <c r="BE669" s="50"/>
      <c r="BF669" s="50"/>
      <c r="BG669" s="50"/>
      <c r="BH669" s="50"/>
      <c r="BI669" s="50"/>
      <c r="BJ669" s="50"/>
    </row>
    <row r="670">
      <c r="A670" s="50"/>
      <c r="B670" s="61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/>
      <c r="BE670" s="50"/>
      <c r="BF670" s="50"/>
      <c r="BG670" s="50"/>
      <c r="BH670" s="50"/>
      <c r="BI670" s="50"/>
      <c r="BJ670" s="50"/>
    </row>
    <row r="671">
      <c r="A671" s="50"/>
      <c r="B671" s="61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0"/>
      <c r="BC671" s="50"/>
      <c r="BD671" s="50"/>
      <c r="BE671" s="50"/>
      <c r="BF671" s="50"/>
      <c r="BG671" s="50"/>
      <c r="BH671" s="50"/>
      <c r="BI671" s="50"/>
      <c r="BJ671" s="50"/>
    </row>
    <row r="672">
      <c r="A672" s="50"/>
      <c r="B672" s="61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0"/>
      <c r="BC672" s="50"/>
      <c r="BD672" s="50"/>
      <c r="BE672" s="50"/>
      <c r="BF672" s="50"/>
      <c r="BG672" s="50"/>
      <c r="BH672" s="50"/>
      <c r="BI672" s="50"/>
      <c r="BJ672" s="50"/>
    </row>
    <row r="673">
      <c r="A673" s="50"/>
      <c r="B673" s="61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0"/>
      <c r="BC673" s="50"/>
      <c r="BD673" s="50"/>
      <c r="BE673" s="50"/>
      <c r="BF673" s="50"/>
      <c r="BG673" s="50"/>
      <c r="BH673" s="50"/>
      <c r="BI673" s="50"/>
      <c r="BJ673" s="50"/>
    </row>
    <row r="674">
      <c r="A674" s="50"/>
      <c r="B674" s="61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  <c r="AV674" s="50"/>
      <c r="AW674" s="50"/>
      <c r="AX674" s="50"/>
      <c r="AY674" s="50"/>
      <c r="AZ674" s="50"/>
      <c r="BA674" s="50"/>
      <c r="BB674" s="50"/>
      <c r="BC674" s="50"/>
      <c r="BD674" s="50"/>
      <c r="BE674" s="50"/>
      <c r="BF674" s="50"/>
      <c r="BG674" s="50"/>
      <c r="BH674" s="50"/>
      <c r="BI674" s="50"/>
      <c r="BJ674" s="50"/>
    </row>
    <row r="675">
      <c r="A675" s="50"/>
      <c r="B675" s="61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0"/>
      <c r="BE675" s="50"/>
      <c r="BF675" s="50"/>
      <c r="BG675" s="50"/>
      <c r="BH675" s="50"/>
      <c r="BI675" s="50"/>
      <c r="BJ675" s="50"/>
    </row>
    <row r="676">
      <c r="A676" s="50"/>
      <c r="B676" s="61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  <c r="AV676" s="50"/>
      <c r="AW676" s="50"/>
      <c r="AX676" s="50"/>
      <c r="AY676" s="50"/>
      <c r="AZ676" s="50"/>
      <c r="BA676" s="50"/>
      <c r="BB676" s="50"/>
      <c r="BC676" s="50"/>
      <c r="BD676" s="50"/>
      <c r="BE676" s="50"/>
      <c r="BF676" s="50"/>
      <c r="BG676" s="50"/>
      <c r="BH676" s="50"/>
      <c r="BI676" s="50"/>
      <c r="BJ676" s="50"/>
    </row>
    <row r="677">
      <c r="A677" s="50"/>
      <c r="B677" s="61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/>
      <c r="BE677" s="50"/>
      <c r="BF677" s="50"/>
      <c r="BG677" s="50"/>
      <c r="BH677" s="50"/>
      <c r="BI677" s="50"/>
      <c r="BJ677" s="50"/>
    </row>
    <row r="678">
      <c r="A678" s="50"/>
      <c r="B678" s="61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/>
      <c r="BD678" s="50"/>
      <c r="BE678" s="50"/>
      <c r="BF678" s="50"/>
      <c r="BG678" s="50"/>
      <c r="BH678" s="50"/>
      <c r="BI678" s="50"/>
      <c r="BJ678" s="50"/>
    </row>
    <row r="679">
      <c r="A679" s="50"/>
      <c r="B679" s="61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0"/>
      <c r="BE679" s="50"/>
      <c r="BF679" s="50"/>
      <c r="BG679" s="50"/>
      <c r="BH679" s="50"/>
      <c r="BI679" s="50"/>
      <c r="BJ679" s="50"/>
    </row>
    <row r="680">
      <c r="A680" s="50"/>
      <c r="B680" s="61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/>
      <c r="BD680" s="50"/>
      <c r="BE680" s="50"/>
      <c r="BF680" s="50"/>
      <c r="BG680" s="50"/>
      <c r="BH680" s="50"/>
      <c r="BI680" s="50"/>
      <c r="BJ680" s="50"/>
    </row>
    <row r="681">
      <c r="A681" s="50"/>
      <c r="B681" s="61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0"/>
      <c r="BC681" s="50"/>
      <c r="BD681" s="50"/>
      <c r="BE681" s="50"/>
      <c r="BF681" s="50"/>
      <c r="BG681" s="50"/>
      <c r="BH681" s="50"/>
      <c r="BI681" s="50"/>
      <c r="BJ681" s="50"/>
    </row>
    <row r="682">
      <c r="A682" s="50"/>
      <c r="B682" s="61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50"/>
      <c r="AR682" s="50"/>
      <c r="AS682" s="50"/>
      <c r="AT682" s="50"/>
      <c r="AU682" s="50"/>
      <c r="AV682" s="50"/>
      <c r="AW682" s="50"/>
      <c r="AX682" s="50"/>
      <c r="AY682" s="50"/>
      <c r="AZ682" s="50"/>
      <c r="BA682" s="50"/>
      <c r="BB682" s="50"/>
      <c r="BC682" s="50"/>
      <c r="BD682" s="50"/>
      <c r="BE682" s="50"/>
      <c r="BF682" s="50"/>
      <c r="BG682" s="50"/>
      <c r="BH682" s="50"/>
      <c r="BI682" s="50"/>
      <c r="BJ682" s="50"/>
    </row>
    <row r="683">
      <c r="A683" s="50"/>
      <c r="B683" s="61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/>
      <c r="BE683" s="50"/>
      <c r="BF683" s="50"/>
      <c r="BG683" s="50"/>
      <c r="BH683" s="50"/>
      <c r="BI683" s="50"/>
      <c r="BJ683" s="50"/>
    </row>
    <row r="684">
      <c r="A684" s="50"/>
      <c r="B684" s="61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  <c r="AV684" s="50"/>
      <c r="AW684" s="50"/>
      <c r="AX684" s="50"/>
      <c r="AY684" s="50"/>
      <c r="AZ684" s="50"/>
      <c r="BA684" s="50"/>
      <c r="BB684" s="50"/>
      <c r="BC684" s="50"/>
      <c r="BD684" s="50"/>
      <c r="BE684" s="50"/>
      <c r="BF684" s="50"/>
      <c r="BG684" s="50"/>
      <c r="BH684" s="50"/>
      <c r="BI684" s="50"/>
      <c r="BJ684" s="50"/>
    </row>
    <row r="685">
      <c r="A685" s="50"/>
      <c r="B685" s="61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0"/>
      <c r="BE685" s="50"/>
      <c r="BF685" s="50"/>
      <c r="BG685" s="50"/>
      <c r="BH685" s="50"/>
      <c r="BI685" s="50"/>
      <c r="BJ685" s="50"/>
    </row>
    <row r="686">
      <c r="A686" s="50"/>
      <c r="B686" s="61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/>
      <c r="BE686" s="50"/>
      <c r="BF686" s="50"/>
      <c r="BG686" s="50"/>
      <c r="BH686" s="50"/>
      <c r="BI686" s="50"/>
      <c r="BJ686" s="50"/>
    </row>
    <row r="687">
      <c r="A687" s="50"/>
      <c r="B687" s="61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0"/>
      <c r="BE687" s="50"/>
      <c r="BF687" s="50"/>
      <c r="BG687" s="50"/>
      <c r="BH687" s="50"/>
      <c r="BI687" s="50"/>
      <c r="BJ687" s="50"/>
    </row>
    <row r="688">
      <c r="A688" s="50"/>
      <c r="B688" s="61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0"/>
      <c r="BE688" s="50"/>
      <c r="BF688" s="50"/>
      <c r="BG688" s="50"/>
      <c r="BH688" s="50"/>
      <c r="BI688" s="50"/>
      <c r="BJ688" s="50"/>
    </row>
    <row r="689">
      <c r="A689" s="50"/>
      <c r="B689" s="61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/>
      <c r="BE689" s="50"/>
      <c r="BF689" s="50"/>
      <c r="BG689" s="50"/>
      <c r="BH689" s="50"/>
      <c r="BI689" s="50"/>
      <c r="BJ689" s="50"/>
    </row>
    <row r="690">
      <c r="A690" s="50"/>
      <c r="B690" s="61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/>
      <c r="BE690" s="50"/>
      <c r="BF690" s="50"/>
      <c r="BG690" s="50"/>
      <c r="BH690" s="50"/>
      <c r="BI690" s="50"/>
      <c r="BJ690" s="50"/>
    </row>
    <row r="691">
      <c r="A691" s="50"/>
      <c r="B691" s="61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0"/>
      <c r="BE691" s="50"/>
      <c r="BF691" s="50"/>
      <c r="BG691" s="50"/>
      <c r="BH691" s="50"/>
      <c r="BI691" s="50"/>
      <c r="BJ691" s="50"/>
    </row>
    <row r="692">
      <c r="A692" s="50"/>
      <c r="B692" s="61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/>
      <c r="AW692" s="50"/>
      <c r="AX692" s="50"/>
      <c r="AY692" s="50"/>
      <c r="AZ692" s="50"/>
      <c r="BA692" s="50"/>
      <c r="BB692" s="50"/>
      <c r="BC692" s="50"/>
      <c r="BD692" s="50"/>
      <c r="BE692" s="50"/>
      <c r="BF692" s="50"/>
      <c r="BG692" s="50"/>
      <c r="BH692" s="50"/>
      <c r="BI692" s="50"/>
      <c r="BJ692" s="50"/>
    </row>
    <row r="693">
      <c r="A693" s="50"/>
      <c r="B693" s="61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  <c r="AV693" s="50"/>
      <c r="AW693" s="50"/>
      <c r="AX693" s="50"/>
      <c r="AY693" s="50"/>
      <c r="AZ693" s="50"/>
      <c r="BA693" s="50"/>
      <c r="BB693" s="50"/>
      <c r="BC693" s="50"/>
      <c r="BD693" s="50"/>
      <c r="BE693" s="50"/>
      <c r="BF693" s="50"/>
      <c r="BG693" s="50"/>
      <c r="BH693" s="50"/>
      <c r="BI693" s="50"/>
      <c r="BJ693" s="50"/>
    </row>
    <row r="694">
      <c r="A694" s="50"/>
      <c r="B694" s="61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  <c r="AV694" s="50"/>
      <c r="AW694" s="50"/>
      <c r="AX694" s="50"/>
      <c r="AY694" s="50"/>
      <c r="AZ694" s="50"/>
      <c r="BA694" s="50"/>
      <c r="BB694" s="50"/>
      <c r="BC694" s="50"/>
      <c r="BD694" s="50"/>
      <c r="BE694" s="50"/>
      <c r="BF694" s="50"/>
      <c r="BG694" s="50"/>
      <c r="BH694" s="50"/>
      <c r="BI694" s="50"/>
      <c r="BJ694" s="50"/>
    </row>
    <row r="695">
      <c r="A695" s="50"/>
      <c r="B695" s="61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/>
      <c r="AW695" s="50"/>
      <c r="AX695" s="50"/>
      <c r="AY695" s="50"/>
      <c r="AZ695" s="50"/>
      <c r="BA695" s="50"/>
      <c r="BB695" s="50"/>
      <c r="BC695" s="50"/>
      <c r="BD695" s="50"/>
      <c r="BE695" s="50"/>
      <c r="BF695" s="50"/>
      <c r="BG695" s="50"/>
      <c r="BH695" s="50"/>
      <c r="BI695" s="50"/>
      <c r="BJ695" s="50"/>
    </row>
    <row r="696">
      <c r="A696" s="50"/>
      <c r="B696" s="61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0"/>
      <c r="BE696" s="50"/>
      <c r="BF696" s="50"/>
      <c r="BG696" s="50"/>
      <c r="BH696" s="50"/>
      <c r="BI696" s="50"/>
      <c r="BJ696" s="50"/>
    </row>
    <row r="697">
      <c r="A697" s="50"/>
      <c r="B697" s="61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0"/>
      <c r="BE697" s="50"/>
      <c r="BF697" s="50"/>
      <c r="BG697" s="50"/>
      <c r="BH697" s="50"/>
      <c r="BI697" s="50"/>
      <c r="BJ697" s="50"/>
    </row>
    <row r="698">
      <c r="A698" s="50"/>
      <c r="B698" s="61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/>
      <c r="BE698" s="50"/>
      <c r="BF698" s="50"/>
      <c r="BG698" s="50"/>
      <c r="BH698" s="50"/>
      <c r="BI698" s="50"/>
      <c r="BJ698" s="50"/>
    </row>
    <row r="699">
      <c r="A699" s="50"/>
      <c r="B699" s="61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/>
      <c r="BF699" s="50"/>
      <c r="BG699" s="50"/>
      <c r="BH699" s="50"/>
      <c r="BI699" s="50"/>
      <c r="BJ699" s="50"/>
    </row>
    <row r="700">
      <c r="A700" s="50"/>
      <c r="B700" s="61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0"/>
      <c r="BE700" s="50"/>
      <c r="BF700" s="50"/>
      <c r="BG700" s="50"/>
      <c r="BH700" s="50"/>
      <c r="BI700" s="50"/>
      <c r="BJ700" s="50"/>
    </row>
    <row r="701">
      <c r="A701" s="50"/>
      <c r="B701" s="61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/>
      <c r="BF701" s="50"/>
      <c r="BG701" s="50"/>
      <c r="BH701" s="50"/>
      <c r="BI701" s="50"/>
      <c r="BJ701" s="50"/>
    </row>
    <row r="702">
      <c r="A702" s="50"/>
      <c r="B702" s="61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/>
      <c r="BF702" s="50"/>
      <c r="BG702" s="50"/>
      <c r="BH702" s="50"/>
      <c r="BI702" s="50"/>
      <c r="BJ702" s="50"/>
    </row>
    <row r="703">
      <c r="A703" s="50"/>
      <c r="B703" s="61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/>
      <c r="BF703" s="50"/>
      <c r="BG703" s="50"/>
      <c r="BH703" s="50"/>
      <c r="BI703" s="50"/>
      <c r="BJ703" s="50"/>
    </row>
    <row r="704">
      <c r="A704" s="50"/>
      <c r="B704" s="61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0"/>
      <c r="BE704" s="50"/>
      <c r="BF704" s="50"/>
      <c r="BG704" s="50"/>
      <c r="BH704" s="50"/>
      <c r="BI704" s="50"/>
      <c r="BJ704" s="50"/>
    </row>
    <row r="705">
      <c r="A705" s="50"/>
      <c r="B705" s="61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0"/>
      <c r="BE705" s="50"/>
      <c r="BF705" s="50"/>
      <c r="BG705" s="50"/>
      <c r="BH705" s="50"/>
      <c r="BI705" s="50"/>
      <c r="BJ705" s="50"/>
    </row>
    <row r="706">
      <c r="A706" s="50"/>
      <c r="B706" s="61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/>
      <c r="BF706" s="50"/>
      <c r="BG706" s="50"/>
      <c r="BH706" s="50"/>
      <c r="BI706" s="50"/>
      <c r="BJ706" s="50"/>
    </row>
    <row r="707">
      <c r="A707" s="50"/>
      <c r="B707" s="61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/>
      <c r="BF707" s="50"/>
      <c r="BG707" s="50"/>
      <c r="BH707" s="50"/>
      <c r="BI707" s="50"/>
      <c r="BJ707" s="50"/>
    </row>
    <row r="708">
      <c r="A708" s="50"/>
      <c r="B708" s="61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0"/>
      <c r="BE708" s="50"/>
      <c r="BF708" s="50"/>
      <c r="BG708" s="50"/>
      <c r="BH708" s="50"/>
      <c r="BI708" s="50"/>
      <c r="BJ708" s="50"/>
    </row>
    <row r="709">
      <c r="A709" s="50"/>
      <c r="B709" s="61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0"/>
      <c r="BE709" s="50"/>
      <c r="BF709" s="50"/>
      <c r="BG709" s="50"/>
      <c r="BH709" s="50"/>
      <c r="BI709" s="50"/>
      <c r="BJ709" s="50"/>
    </row>
    <row r="710">
      <c r="A710" s="50"/>
      <c r="B710" s="61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50"/>
      <c r="AR710" s="50"/>
      <c r="AS710" s="50"/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0"/>
      <c r="BE710" s="50"/>
      <c r="BF710" s="50"/>
      <c r="BG710" s="50"/>
      <c r="BH710" s="50"/>
      <c r="BI710" s="50"/>
      <c r="BJ710" s="50"/>
    </row>
    <row r="711">
      <c r="A711" s="50"/>
      <c r="B711" s="61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50"/>
      <c r="AW711" s="50"/>
      <c r="AX711" s="50"/>
      <c r="AY711" s="50"/>
      <c r="AZ711" s="50"/>
      <c r="BA711" s="50"/>
      <c r="BB711" s="50"/>
      <c r="BC711" s="50"/>
      <c r="BD711" s="50"/>
      <c r="BE711" s="50"/>
      <c r="BF711" s="50"/>
      <c r="BG711" s="50"/>
      <c r="BH711" s="50"/>
      <c r="BI711" s="50"/>
      <c r="BJ711" s="50"/>
    </row>
    <row r="712">
      <c r="A712" s="50"/>
      <c r="B712" s="61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0"/>
      <c r="BE712" s="50"/>
      <c r="BF712" s="50"/>
      <c r="BG712" s="50"/>
      <c r="BH712" s="50"/>
      <c r="BI712" s="50"/>
      <c r="BJ712" s="50"/>
    </row>
    <row r="713">
      <c r="A713" s="50"/>
      <c r="B713" s="61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/>
      <c r="BE713" s="50"/>
      <c r="BF713" s="50"/>
      <c r="BG713" s="50"/>
      <c r="BH713" s="50"/>
      <c r="BI713" s="50"/>
      <c r="BJ713" s="50"/>
    </row>
    <row r="714">
      <c r="A714" s="50"/>
      <c r="B714" s="61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50"/>
      <c r="BG714" s="50"/>
      <c r="BH714" s="50"/>
      <c r="BI714" s="50"/>
      <c r="BJ714" s="50"/>
    </row>
    <row r="715">
      <c r="A715" s="50"/>
      <c r="B715" s="61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0"/>
      <c r="BE715" s="50"/>
      <c r="BF715" s="50"/>
      <c r="BG715" s="50"/>
      <c r="BH715" s="50"/>
      <c r="BI715" s="50"/>
      <c r="BJ715" s="50"/>
    </row>
    <row r="716">
      <c r="A716" s="50"/>
      <c r="B716" s="61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50"/>
      <c r="BG716" s="50"/>
      <c r="BH716" s="50"/>
      <c r="BI716" s="50"/>
      <c r="BJ716" s="50"/>
    </row>
    <row r="717">
      <c r="A717" s="50"/>
      <c r="B717" s="61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0"/>
      <c r="BE717" s="50"/>
      <c r="BF717" s="50"/>
      <c r="BG717" s="50"/>
      <c r="BH717" s="50"/>
      <c r="BI717" s="50"/>
      <c r="BJ717" s="50"/>
    </row>
    <row r="718">
      <c r="A718" s="50"/>
      <c r="B718" s="61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50"/>
      <c r="BG718" s="50"/>
      <c r="BH718" s="50"/>
      <c r="BI718" s="50"/>
      <c r="BJ718" s="50"/>
    </row>
    <row r="719">
      <c r="A719" s="50"/>
      <c r="B719" s="61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50"/>
      <c r="BG719" s="50"/>
      <c r="BH719" s="50"/>
      <c r="BI719" s="50"/>
      <c r="BJ719" s="50"/>
    </row>
    <row r="720">
      <c r="A720" s="50"/>
      <c r="B720" s="61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50"/>
      <c r="BG720" s="50"/>
      <c r="BH720" s="50"/>
      <c r="BI720" s="50"/>
      <c r="BJ720" s="50"/>
    </row>
    <row r="721">
      <c r="A721" s="50"/>
      <c r="B721" s="61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50"/>
      <c r="BG721" s="50"/>
      <c r="BH721" s="50"/>
      <c r="BI721" s="50"/>
      <c r="BJ721" s="50"/>
    </row>
    <row r="722">
      <c r="A722" s="50"/>
      <c r="B722" s="61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50"/>
      <c r="BG722" s="50"/>
      <c r="BH722" s="50"/>
      <c r="BI722" s="50"/>
      <c r="BJ722" s="50"/>
    </row>
    <row r="723">
      <c r="A723" s="50"/>
      <c r="B723" s="61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0"/>
      <c r="BE723" s="50"/>
      <c r="BF723" s="50"/>
      <c r="BG723" s="50"/>
      <c r="BH723" s="50"/>
      <c r="BI723" s="50"/>
      <c r="BJ723" s="50"/>
    </row>
    <row r="724">
      <c r="A724" s="50"/>
      <c r="B724" s="61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  <c r="AL724" s="50"/>
      <c r="AM724" s="50"/>
      <c r="AN724" s="50"/>
      <c r="AO724" s="50"/>
      <c r="AP724" s="50"/>
      <c r="AQ724" s="50"/>
      <c r="AR724" s="50"/>
      <c r="AS724" s="50"/>
      <c r="AT724" s="50"/>
      <c r="AU724" s="50"/>
      <c r="AV724" s="50"/>
      <c r="AW724" s="50"/>
      <c r="AX724" s="50"/>
      <c r="AY724" s="50"/>
      <c r="AZ724" s="50"/>
      <c r="BA724" s="50"/>
      <c r="BB724" s="50"/>
      <c r="BC724" s="50"/>
      <c r="BD724" s="50"/>
      <c r="BE724" s="50"/>
      <c r="BF724" s="50"/>
      <c r="BG724" s="50"/>
      <c r="BH724" s="50"/>
      <c r="BI724" s="50"/>
      <c r="BJ724" s="50"/>
    </row>
    <row r="725">
      <c r="A725" s="50"/>
      <c r="B725" s="61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/>
      <c r="AW725" s="50"/>
      <c r="AX725" s="50"/>
      <c r="AY725" s="50"/>
      <c r="AZ725" s="50"/>
      <c r="BA725" s="50"/>
      <c r="BB725" s="50"/>
      <c r="BC725" s="50"/>
      <c r="BD725" s="50"/>
      <c r="BE725" s="50"/>
      <c r="BF725" s="50"/>
      <c r="BG725" s="50"/>
      <c r="BH725" s="50"/>
      <c r="BI725" s="50"/>
      <c r="BJ725" s="50"/>
    </row>
    <row r="726">
      <c r="A726" s="50"/>
      <c r="B726" s="61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  <c r="AL726" s="50"/>
      <c r="AM726" s="50"/>
      <c r="AN726" s="50"/>
      <c r="AO726" s="50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0"/>
      <c r="BE726" s="50"/>
      <c r="BF726" s="50"/>
      <c r="BG726" s="50"/>
      <c r="BH726" s="50"/>
      <c r="BI726" s="50"/>
      <c r="BJ726" s="50"/>
    </row>
    <row r="727">
      <c r="A727" s="50"/>
      <c r="B727" s="61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/>
      <c r="BE727" s="50"/>
      <c r="BF727" s="50"/>
      <c r="BG727" s="50"/>
      <c r="BH727" s="50"/>
      <c r="BI727" s="50"/>
      <c r="BJ727" s="50"/>
    </row>
    <row r="728">
      <c r="A728" s="50"/>
      <c r="B728" s="61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/>
      <c r="BE728" s="50"/>
      <c r="BF728" s="50"/>
      <c r="BG728" s="50"/>
      <c r="BH728" s="50"/>
      <c r="BI728" s="50"/>
      <c r="BJ728" s="50"/>
    </row>
    <row r="729">
      <c r="A729" s="50"/>
      <c r="B729" s="61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  <c r="BI729" s="50"/>
      <c r="BJ729" s="50"/>
    </row>
    <row r="730">
      <c r="A730" s="50"/>
      <c r="B730" s="61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50"/>
      <c r="BH730" s="50"/>
      <c r="BI730" s="50"/>
      <c r="BJ730" s="50"/>
    </row>
    <row r="731">
      <c r="A731" s="50"/>
      <c r="B731" s="61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/>
      <c r="AW731" s="50"/>
      <c r="AX731" s="50"/>
      <c r="AY731" s="50"/>
      <c r="AZ731" s="50"/>
      <c r="BA731" s="50"/>
      <c r="BB731" s="50"/>
      <c r="BC731" s="50"/>
      <c r="BD731" s="50"/>
      <c r="BE731" s="50"/>
      <c r="BF731" s="50"/>
      <c r="BG731" s="50"/>
      <c r="BH731" s="50"/>
      <c r="BI731" s="50"/>
      <c r="BJ731" s="50"/>
    </row>
    <row r="732">
      <c r="A732" s="50"/>
      <c r="B732" s="61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/>
      <c r="AW732" s="50"/>
      <c r="AX732" s="50"/>
      <c r="AY732" s="50"/>
      <c r="AZ732" s="50"/>
      <c r="BA732" s="50"/>
      <c r="BB732" s="50"/>
      <c r="BC732" s="50"/>
      <c r="BD732" s="50"/>
      <c r="BE732" s="50"/>
      <c r="BF732" s="50"/>
      <c r="BG732" s="50"/>
      <c r="BH732" s="50"/>
      <c r="BI732" s="50"/>
      <c r="BJ732" s="50"/>
    </row>
    <row r="733">
      <c r="A733" s="50"/>
      <c r="B733" s="61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/>
      <c r="BE733" s="50"/>
      <c r="BF733" s="50"/>
      <c r="BG733" s="50"/>
      <c r="BH733" s="50"/>
      <c r="BI733" s="50"/>
      <c r="BJ733" s="50"/>
    </row>
    <row r="734">
      <c r="A734" s="50"/>
      <c r="B734" s="61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50"/>
      <c r="BH734" s="50"/>
      <c r="BI734" s="50"/>
      <c r="BJ734" s="50"/>
    </row>
    <row r="735">
      <c r="A735" s="50"/>
      <c r="B735" s="61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/>
      <c r="BE735" s="50"/>
      <c r="BF735" s="50"/>
      <c r="BG735" s="50"/>
      <c r="BH735" s="50"/>
      <c r="BI735" s="50"/>
      <c r="BJ735" s="50"/>
    </row>
    <row r="736">
      <c r="A736" s="50"/>
      <c r="B736" s="61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/>
      <c r="BE736" s="50"/>
      <c r="BF736" s="50"/>
      <c r="BG736" s="50"/>
      <c r="BH736" s="50"/>
      <c r="BI736" s="50"/>
      <c r="BJ736" s="50"/>
    </row>
    <row r="737">
      <c r="A737" s="50"/>
      <c r="B737" s="61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50"/>
      <c r="BG737" s="50"/>
      <c r="BH737" s="50"/>
      <c r="BI737" s="50"/>
      <c r="BJ737" s="50"/>
    </row>
    <row r="738">
      <c r="A738" s="50"/>
      <c r="B738" s="61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50"/>
      <c r="BG738" s="50"/>
      <c r="BH738" s="50"/>
      <c r="BI738" s="50"/>
      <c r="BJ738" s="50"/>
    </row>
    <row r="739">
      <c r="A739" s="50"/>
      <c r="B739" s="61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50"/>
      <c r="BG739" s="50"/>
      <c r="BH739" s="50"/>
      <c r="BI739" s="50"/>
      <c r="BJ739" s="50"/>
    </row>
    <row r="740">
      <c r="A740" s="50"/>
      <c r="B740" s="61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0"/>
      <c r="BF740" s="50"/>
      <c r="BG740" s="50"/>
      <c r="BH740" s="50"/>
      <c r="BI740" s="50"/>
      <c r="BJ740" s="50"/>
    </row>
    <row r="741">
      <c r="A741" s="50"/>
      <c r="B741" s="61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50"/>
      <c r="BG741" s="50"/>
      <c r="BH741" s="50"/>
      <c r="BI741" s="50"/>
      <c r="BJ741" s="50"/>
    </row>
    <row r="742">
      <c r="A742" s="50"/>
      <c r="B742" s="61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50"/>
      <c r="BH742" s="50"/>
      <c r="BI742" s="50"/>
      <c r="BJ742" s="50"/>
    </row>
    <row r="743">
      <c r="A743" s="50"/>
      <c r="B743" s="61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0"/>
      <c r="BF743" s="50"/>
      <c r="BG743" s="50"/>
      <c r="BH743" s="50"/>
      <c r="BI743" s="50"/>
      <c r="BJ743" s="50"/>
    </row>
    <row r="744">
      <c r="A744" s="50"/>
      <c r="B744" s="61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50"/>
      <c r="BG744" s="50"/>
      <c r="BH744" s="50"/>
      <c r="BI744" s="50"/>
      <c r="BJ744" s="50"/>
    </row>
    <row r="745">
      <c r="A745" s="50"/>
      <c r="B745" s="61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/>
      <c r="BE745" s="50"/>
      <c r="BF745" s="50"/>
      <c r="BG745" s="50"/>
      <c r="BH745" s="50"/>
      <c r="BI745" s="50"/>
      <c r="BJ745" s="50"/>
    </row>
    <row r="746">
      <c r="A746" s="50"/>
      <c r="B746" s="61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50"/>
      <c r="BH746" s="50"/>
      <c r="BI746" s="50"/>
      <c r="BJ746" s="50"/>
    </row>
    <row r="747">
      <c r="A747" s="50"/>
      <c r="B747" s="61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/>
      <c r="BB747" s="50"/>
      <c r="BC747" s="50"/>
      <c r="BD747" s="50"/>
      <c r="BE747" s="50"/>
      <c r="BF747" s="50"/>
      <c r="BG747" s="50"/>
      <c r="BH747" s="50"/>
      <c r="BI747" s="50"/>
      <c r="BJ747" s="50"/>
    </row>
    <row r="748">
      <c r="A748" s="50"/>
      <c r="B748" s="61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0"/>
      <c r="AS748" s="50"/>
      <c r="AT748" s="50"/>
      <c r="AU748" s="50"/>
      <c r="AV748" s="50"/>
      <c r="AW748" s="50"/>
      <c r="AX748" s="50"/>
      <c r="AY748" s="50"/>
      <c r="AZ748" s="50"/>
      <c r="BA748" s="50"/>
      <c r="BB748" s="50"/>
      <c r="BC748" s="50"/>
      <c r="BD748" s="50"/>
      <c r="BE748" s="50"/>
      <c r="BF748" s="50"/>
      <c r="BG748" s="50"/>
      <c r="BH748" s="50"/>
      <c r="BI748" s="50"/>
      <c r="BJ748" s="50"/>
    </row>
    <row r="749">
      <c r="A749" s="50"/>
      <c r="B749" s="61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/>
      <c r="BE749" s="50"/>
      <c r="BF749" s="50"/>
      <c r="BG749" s="50"/>
      <c r="BH749" s="50"/>
      <c r="BI749" s="50"/>
      <c r="BJ749" s="50"/>
    </row>
    <row r="750">
      <c r="A750" s="50"/>
      <c r="B750" s="61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50"/>
      <c r="BH750" s="50"/>
      <c r="BI750" s="50"/>
      <c r="BJ750" s="50"/>
    </row>
    <row r="751">
      <c r="A751" s="50"/>
      <c r="B751" s="61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50"/>
      <c r="BG751" s="50"/>
      <c r="BH751" s="50"/>
      <c r="BI751" s="50"/>
      <c r="BJ751" s="50"/>
    </row>
    <row r="752">
      <c r="A752" s="50"/>
      <c r="B752" s="61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0"/>
      <c r="BF752" s="50"/>
      <c r="BG752" s="50"/>
      <c r="BH752" s="50"/>
      <c r="BI752" s="50"/>
      <c r="BJ752" s="50"/>
    </row>
    <row r="753">
      <c r="A753" s="50"/>
      <c r="B753" s="61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50"/>
      <c r="BG753" s="50"/>
      <c r="BH753" s="50"/>
      <c r="BI753" s="50"/>
      <c r="BJ753" s="50"/>
    </row>
    <row r="754">
      <c r="A754" s="50"/>
      <c r="B754" s="61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50"/>
      <c r="BG754" s="50"/>
      <c r="BH754" s="50"/>
      <c r="BI754" s="50"/>
      <c r="BJ754" s="50"/>
    </row>
    <row r="755">
      <c r="A755" s="50"/>
      <c r="B755" s="61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50"/>
      <c r="BG755" s="50"/>
      <c r="BH755" s="50"/>
      <c r="BI755" s="50"/>
      <c r="BJ755" s="50"/>
    </row>
    <row r="756">
      <c r="A756" s="50"/>
      <c r="B756" s="61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50"/>
      <c r="BG756" s="50"/>
      <c r="BH756" s="50"/>
      <c r="BI756" s="50"/>
      <c r="BJ756" s="50"/>
    </row>
    <row r="757">
      <c r="A757" s="50"/>
      <c r="B757" s="61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/>
      <c r="BE757" s="50"/>
      <c r="BF757" s="50"/>
      <c r="BG757" s="50"/>
      <c r="BH757" s="50"/>
      <c r="BI757" s="50"/>
      <c r="BJ757" s="50"/>
    </row>
    <row r="758">
      <c r="A758" s="50"/>
      <c r="B758" s="61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50"/>
      <c r="BH758" s="50"/>
      <c r="BI758" s="50"/>
      <c r="BJ758" s="50"/>
    </row>
    <row r="759">
      <c r="A759" s="50"/>
      <c r="B759" s="61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50"/>
      <c r="BG759" s="50"/>
      <c r="BH759" s="50"/>
      <c r="BI759" s="50"/>
      <c r="BJ759" s="50"/>
    </row>
    <row r="760">
      <c r="A760" s="50"/>
      <c r="B760" s="61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/>
      <c r="BE760" s="50"/>
      <c r="BF760" s="50"/>
      <c r="BG760" s="50"/>
      <c r="BH760" s="50"/>
      <c r="BI760" s="50"/>
      <c r="BJ760" s="50"/>
    </row>
    <row r="761">
      <c r="A761" s="50"/>
      <c r="B761" s="61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0"/>
      <c r="BF761" s="50"/>
      <c r="BG761" s="50"/>
      <c r="BH761" s="50"/>
      <c r="BI761" s="50"/>
      <c r="BJ761" s="50"/>
    </row>
    <row r="762">
      <c r="A762" s="50"/>
      <c r="B762" s="61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50"/>
      <c r="BH762" s="50"/>
      <c r="BI762" s="50"/>
      <c r="BJ762" s="50"/>
    </row>
    <row r="763">
      <c r="A763" s="50"/>
      <c r="B763" s="61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  <c r="AV763" s="50"/>
      <c r="AW763" s="50"/>
      <c r="AX763" s="50"/>
      <c r="AY763" s="50"/>
      <c r="AZ763" s="50"/>
      <c r="BA763" s="50"/>
      <c r="BB763" s="50"/>
      <c r="BC763" s="50"/>
      <c r="BD763" s="50"/>
      <c r="BE763" s="50"/>
      <c r="BF763" s="50"/>
      <c r="BG763" s="50"/>
      <c r="BH763" s="50"/>
      <c r="BI763" s="50"/>
      <c r="BJ763" s="50"/>
    </row>
    <row r="764">
      <c r="A764" s="50"/>
      <c r="B764" s="61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  <c r="AV764" s="50"/>
      <c r="AW764" s="50"/>
      <c r="AX764" s="50"/>
      <c r="AY764" s="50"/>
      <c r="AZ764" s="50"/>
      <c r="BA764" s="50"/>
      <c r="BB764" s="50"/>
      <c r="BC764" s="50"/>
      <c r="BD764" s="50"/>
      <c r="BE764" s="50"/>
      <c r="BF764" s="50"/>
      <c r="BG764" s="50"/>
      <c r="BH764" s="50"/>
      <c r="BI764" s="50"/>
      <c r="BJ764" s="50"/>
    </row>
    <row r="765">
      <c r="A765" s="50"/>
      <c r="B765" s="61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50"/>
      <c r="BG765" s="50"/>
      <c r="BH765" s="50"/>
      <c r="BI765" s="50"/>
      <c r="BJ765" s="50"/>
    </row>
    <row r="766">
      <c r="A766" s="50"/>
      <c r="B766" s="61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50"/>
      <c r="BH766" s="50"/>
      <c r="BI766" s="50"/>
      <c r="BJ766" s="50"/>
    </row>
    <row r="767">
      <c r="A767" s="50"/>
      <c r="B767" s="61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</row>
    <row r="768">
      <c r="A768" s="50"/>
      <c r="B768" s="61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50"/>
      <c r="BG768" s="50"/>
      <c r="BH768" s="50"/>
      <c r="BI768" s="50"/>
      <c r="BJ768" s="50"/>
    </row>
    <row r="769">
      <c r="A769" s="50"/>
      <c r="B769" s="61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/>
      <c r="BE769" s="50"/>
      <c r="BF769" s="50"/>
      <c r="BG769" s="50"/>
      <c r="BH769" s="50"/>
      <c r="BI769" s="50"/>
      <c r="BJ769" s="50"/>
    </row>
    <row r="770">
      <c r="A770" s="50"/>
      <c r="B770" s="61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50"/>
      <c r="BH770" s="50"/>
      <c r="BI770" s="50"/>
      <c r="BJ770" s="50"/>
    </row>
    <row r="771">
      <c r="A771" s="50"/>
      <c r="B771" s="61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/>
      <c r="BE771" s="50"/>
      <c r="BF771" s="50"/>
      <c r="BG771" s="50"/>
      <c r="BH771" s="50"/>
      <c r="BI771" s="50"/>
      <c r="BJ771" s="50"/>
    </row>
    <row r="772">
      <c r="A772" s="50"/>
      <c r="B772" s="61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/>
      <c r="AW772" s="50"/>
      <c r="AX772" s="50"/>
      <c r="AY772" s="50"/>
      <c r="AZ772" s="50"/>
      <c r="BA772" s="50"/>
      <c r="BB772" s="50"/>
      <c r="BC772" s="50"/>
      <c r="BD772" s="50"/>
      <c r="BE772" s="50"/>
      <c r="BF772" s="50"/>
      <c r="BG772" s="50"/>
      <c r="BH772" s="50"/>
      <c r="BI772" s="50"/>
      <c r="BJ772" s="50"/>
    </row>
    <row r="773">
      <c r="A773" s="50"/>
      <c r="B773" s="61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0"/>
      <c r="BE773" s="50"/>
      <c r="BF773" s="50"/>
      <c r="BG773" s="50"/>
      <c r="BH773" s="50"/>
      <c r="BI773" s="50"/>
      <c r="BJ773" s="50"/>
    </row>
    <row r="774">
      <c r="A774" s="50"/>
      <c r="B774" s="61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50"/>
      <c r="BH774" s="50"/>
      <c r="BI774" s="50"/>
      <c r="BJ774" s="50"/>
    </row>
    <row r="775">
      <c r="A775" s="50"/>
      <c r="B775" s="61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50"/>
      <c r="BG775" s="50"/>
      <c r="BH775" s="50"/>
      <c r="BI775" s="50"/>
      <c r="BJ775" s="50"/>
    </row>
    <row r="776">
      <c r="A776" s="50"/>
      <c r="B776" s="61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0"/>
      <c r="BF776" s="50"/>
      <c r="BG776" s="50"/>
      <c r="BH776" s="50"/>
      <c r="BI776" s="50"/>
      <c r="BJ776" s="50"/>
    </row>
    <row r="777">
      <c r="A777" s="50"/>
      <c r="B777" s="61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50"/>
      <c r="BG777" s="50"/>
      <c r="BH777" s="50"/>
      <c r="BI777" s="50"/>
      <c r="BJ777" s="50"/>
    </row>
    <row r="778">
      <c r="A778" s="50"/>
      <c r="B778" s="61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50"/>
      <c r="BH778" s="50"/>
      <c r="BI778" s="50"/>
      <c r="BJ778" s="50"/>
    </row>
    <row r="779">
      <c r="A779" s="50"/>
      <c r="B779" s="61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50"/>
      <c r="BG779" s="50"/>
      <c r="BH779" s="50"/>
      <c r="BI779" s="50"/>
      <c r="BJ779" s="50"/>
    </row>
    <row r="780">
      <c r="A780" s="50"/>
      <c r="B780" s="61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50"/>
      <c r="BG780" s="50"/>
      <c r="BH780" s="50"/>
      <c r="BI780" s="50"/>
      <c r="BJ780" s="50"/>
    </row>
    <row r="781">
      <c r="A781" s="50"/>
      <c r="B781" s="61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/>
      <c r="BE781" s="50"/>
      <c r="BF781" s="50"/>
      <c r="BG781" s="50"/>
      <c r="BH781" s="50"/>
      <c r="BI781" s="50"/>
      <c r="BJ781" s="50"/>
    </row>
    <row r="782">
      <c r="A782" s="50"/>
      <c r="B782" s="61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50"/>
      <c r="BH782" s="50"/>
      <c r="BI782" s="50"/>
      <c r="BJ782" s="50"/>
    </row>
    <row r="783">
      <c r="A783" s="50"/>
      <c r="B783" s="61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/>
      <c r="AW783" s="50"/>
      <c r="AX783" s="50"/>
      <c r="AY783" s="50"/>
      <c r="AZ783" s="50"/>
      <c r="BA783" s="50"/>
      <c r="BB783" s="50"/>
      <c r="BC783" s="50"/>
      <c r="BD783" s="50"/>
      <c r="BE783" s="50"/>
      <c r="BF783" s="50"/>
      <c r="BG783" s="50"/>
      <c r="BH783" s="50"/>
      <c r="BI783" s="50"/>
      <c r="BJ783" s="50"/>
    </row>
    <row r="784">
      <c r="A784" s="50"/>
      <c r="B784" s="61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0"/>
      <c r="AS784" s="50"/>
      <c r="AT784" s="50"/>
      <c r="AU784" s="50"/>
      <c r="AV784" s="50"/>
      <c r="AW784" s="50"/>
      <c r="AX784" s="50"/>
      <c r="AY784" s="50"/>
      <c r="AZ784" s="50"/>
      <c r="BA784" s="50"/>
      <c r="BB784" s="50"/>
      <c r="BC784" s="50"/>
      <c r="BD784" s="50"/>
      <c r="BE784" s="50"/>
      <c r="BF784" s="50"/>
      <c r="BG784" s="50"/>
      <c r="BH784" s="50"/>
      <c r="BI784" s="50"/>
      <c r="BJ784" s="50"/>
    </row>
    <row r="785">
      <c r="A785" s="50"/>
      <c r="B785" s="61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/>
      <c r="BE785" s="50"/>
      <c r="BF785" s="50"/>
      <c r="BG785" s="50"/>
      <c r="BH785" s="50"/>
      <c r="BI785" s="50"/>
      <c r="BJ785" s="50"/>
    </row>
    <row r="786">
      <c r="A786" s="50"/>
      <c r="B786" s="61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50"/>
      <c r="BH786" s="50"/>
      <c r="BI786" s="50"/>
      <c r="BJ786" s="50"/>
    </row>
    <row r="787">
      <c r="A787" s="50"/>
      <c r="B787" s="61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0"/>
      <c r="BE787" s="50"/>
      <c r="BF787" s="50"/>
      <c r="BG787" s="50"/>
      <c r="BH787" s="50"/>
      <c r="BI787" s="50"/>
      <c r="BJ787" s="50"/>
    </row>
    <row r="788">
      <c r="A788" s="50"/>
      <c r="B788" s="61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50"/>
      <c r="BG788" s="50"/>
      <c r="BH788" s="50"/>
      <c r="BI788" s="50"/>
      <c r="BJ788" s="50"/>
    </row>
    <row r="789">
      <c r="A789" s="50"/>
      <c r="B789" s="61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50"/>
      <c r="BG789" s="50"/>
      <c r="BH789" s="50"/>
      <c r="BI789" s="50"/>
      <c r="BJ789" s="50"/>
    </row>
    <row r="790">
      <c r="A790" s="50"/>
      <c r="B790" s="61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50"/>
      <c r="BG790" s="50"/>
      <c r="BH790" s="50"/>
      <c r="BI790" s="50"/>
      <c r="BJ790" s="50"/>
    </row>
    <row r="791">
      <c r="A791" s="50"/>
      <c r="B791" s="61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0"/>
      <c r="BF791" s="50"/>
      <c r="BG791" s="50"/>
      <c r="BH791" s="50"/>
      <c r="BI791" s="50"/>
      <c r="BJ791" s="50"/>
    </row>
    <row r="792">
      <c r="A792" s="50"/>
      <c r="B792" s="61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/>
      <c r="BE792" s="50"/>
      <c r="BF792" s="50"/>
      <c r="BG792" s="50"/>
      <c r="BH792" s="50"/>
      <c r="BI792" s="50"/>
      <c r="BJ792" s="50"/>
    </row>
    <row r="793">
      <c r="A793" s="50"/>
      <c r="B793" s="61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50"/>
      <c r="BG793" s="50"/>
      <c r="BH793" s="50"/>
      <c r="BI793" s="50"/>
      <c r="BJ793" s="50"/>
    </row>
    <row r="794">
      <c r="A794" s="50"/>
      <c r="B794" s="61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50"/>
      <c r="BH794" s="50"/>
      <c r="BI794" s="50"/>
      <c r="BJ794" s="50"/>
    </row>
    <row r="795">
      <c r="A795" s="50"/>
      <c r="B795" s="61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/>
      <c r="BE795" s="50"/>
      <c r="BF795" s="50"/>
      <c r="BG795" s="50"/>
      <c r="BH795" s="50"/>
      <c r="BI795" s="50"/>
      <c r="BJ795" s="50"/>
    </row>
    <row r="796">
      <c r="A796" s="50"/>
      <c r="B796" s="61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/>
      <c r="AW796" s="50"/>
      <c r="AX796" s="50"/>
      <c r="AY796" s="50"/>
      <c r="AZ796" s="50"/>
      <c r="BA796" s="50"/>
      <c r="BB796" s="50"/>
      <c r="BC796" s="50"/>
      <c r="BD796" s="50"/>
      <c r="BE796" s="50"/>
      <c r="BF796" s="50"/>
      <c r="BG796" s="50"/>
      <c r="BH796" s="50"/>
      <c r="BI796" s="50"/>
      <c r="BJ796" s="50"/>
    </row>
    <row r="797">
      <c r="A797" s="50"/>
      <c r="B797" s="61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0"/>
      <c r="BE797" s="50"/>
      <c r="BF797" s="50"/>
      <c r="BG797" s="50"/>
      <c r="BH797" s="50"/>
      <c r="BI797" s="50"/>
      <c r="BJ797" s="50"/>
    </row>
    <row r="798">
      <c r="A798" s="50"/>
      <c r="B798" s="61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50"/>
      <c r="BH798" s="50"/>
      <c r="BI798" s="50"/>
      <c r="BJ798" s="50"/>
    </row>
    <row r="799">
      <c r="A799" s="50"/>
      <c r="B799" s="61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50"/>
      <c r="BG799" s="50"/>
      <c r="BH799" s="50"/>
      <c r="BI799" s="50"/>
      <c r="BJ799" s="50"/>
    </row>
    <row r="800">
      <c r="A800" s="50"/>
      <c r="B800" s="61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50"/>
      <c r="BG800" s="50"/>
      <c r="BH800" s="50"/>
      <c r="BI800" s="50"/>
      <c r="BJ800" s="50"/>
    </row>
    <row r="801">
      <c r="A801" s="50"/>
      <c r="B801" s="61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0"/>
      <c r="BE801" s="50"/>
      <c r="BF801" s="50"/>
      <c r="BG801" s="50"/>
      <c r="BH801" s="50"/>
      <c r="BI801" s="50"/>
      <c r="BJ801" s="50"/>
    </row>
    <row r="802">
      <c r="A802" s="50"/>
      <c r="B802" s="61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/>
      <c r="BE802" s="50"/>
      <c r="BF802" s="50"/>
      <c r="BG802" s="50"/>
      <c r="BH802" s="50"/>
      <c r="BI802" s="50"/>
      <c r="BJ802" s="50"/>
    </row>
    <row r="803">
      <c r="A803" s="50"/>
      <c r="B803" s="61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  <c r="AV803" s="50"/>
      <c r="AW803" s="50"/>
      <c r="AX803" s="50"/>
      <c r="AY803" s="50"/>
      <c r="AZ803" s="50"/>
      <c r="BA803" s="50"/>
      <c r="BB803" s="50"/>
      <c r="BC803" s="50"/>
      <c r="BD803" s="50"/>
      <c r="BE803" s="50"/>
      <c r="BF803" s="50"/>
      <c r="BG803" s="50"/>
      <c r="BH803" s="50"/>
      <c r="BI803" s="50"/>
      <c r="BJ803" s="50"/>
    </row>
    <row r="804">
      <c r="A804" s="50"/>
      <c r="B804" s="61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/>
      <c r="AR804" s="50"/>
      <c r="AS804" s="50"/>
      <c r="AT804" s="50"/>
      <c r="AU804" s="50"/>
      <c r="AV804" s="50"/>
      <c r="AW804" s="50"/>
      <c r="AX804" s="50"/>
      <c r="AY804" s="50"/>
      <c r="AZ804" s="50"/>
      <c r="BA804" s="50"/>
      <c r="BB804" s="50"/>
      <c r="BC804" s="50"/>
      <c r="BD804" s="50"/>
      <c r="BE804" s="50"/>
      <c r="BF804" s="50"/>
      <c r="BG804" s="50"/>
      <c r="BH804" s="50"/>
      <c r="BI804" s="50"/>
      <c r="BJ804" s="50"/>
    </row>
    <row r="805">
      <c r="A805" s="50"/>
      <c r="B805" s="61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  <c r="AV805" s="50"/>
      <c r="AW805" s="50"/>
      <c r="AX805" s="50"/>
      <c r="AY805" s="50"/>
      <c r="AZ805" s="50"/>
      <c r="BA805" s="50"/>
      <c r="BB805" s="50"/>
      <c r="BC805" s="50"/>
      <c r="BD805" s="50"/>
      <c r="BE805" s="50"/>
      <c r="BF805" s="50"/>
      <c r="BG805" s="50"/>
      <c r="BH805" s="50"/>
      <c r="BI805" s="50"/>
      <c r="BJ805" s="50"/>
    </row>
    <row r="806">
      <c r="A806" s="50"/>
      <c r="B806" s="61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0"/>
      <c r="BF806" s="50"/>
      <c r="BG806" s="50"/>
      <c r="BH806" s="50"/>
      <c r="BI806" s="50"/>
      <c r="BJ806" s="50"/>
    </row>
    <row r="807">
      <c r="A807" s="50"/>
      <c r="B807" s="61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50"/>
      <c r="BG807" s="50"/>
      <c r="BH807" s="50"/>
      <c r="BI807" s="50"/>
      <c r="BJ807" s="50"/>
    </row>
    <row r="808">
      <c r="A808" s="50"/>
      <c r="B808" s="61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0"/>
      <c r="BE808" s="50"/>
      <c r="BF808" s="50"/>
      <c r="BG808" s="50"/>
      <c r="BH808" s="50"/>
      <c r="BI808" s="50"/>
      <c r="BJ808" s="50"/>
    </row>
    <row r="809">
      <c r="A809" s="50"/>
      <c r="B809" s="61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50"/>
      <c r="BG809" s="50"/>
      <c r="BH809" s="50"/>
      <c r="BI809" s="50"/>
      <c r="BJ809" s="50"/>
    </row>
    <row r="810">
      <c r="A810" s="50"/>
      <c r="B810" s="61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/>
      <c r="BE810" s="50"/>
      <c r="BF810" s="50"/>
      <c r="BG810" s="50"/>
      <c r="BH810" s="50"/>
      <c r="BI810" s="50"/>
      <c r="BJ810" s="50"/>
    </row>
    <row r="811">
      <c r="A811" s="50"/>
      <c r="B811" s="61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0"/>
      <c r="BE811" s="50"/>
      <c r="BF811" s="50"/>
      <c r="BG811" s="50"/>
      <c r="BH811" s="50"/>
      <c r="BI811" s="50"/>
      <c r="BJ811" s="50"/>
    </row>
    <row r="812">
      <c r="A812" s="50"/>
      <c r="B812" s="61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0"/>
      <c r="BE812" s="50"/>
      <c r="BF812" s="50"/>
      <c r="BG812" s="50"/>
      <c r="BH812" s="50"/>
      <c r="BI812" s="50"/>
      <c r="BJ812" s="50"/>
    </row>
    <row r="813">
      <c r="A813" s="50"/>
      <c r="B813" s="61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/>
      <c r="BE813" s="50"/>
      <c r="BF813" s="50"/>
      <c r="BG813" s="50"/>
      <c r="BH813" s="50"/>
      <c r="BI813" s="50"/>
      <c r="BJ813" s="50"/>
    </row>
    <row r="814">
      <c r="A814" s="50"/>
      <c r="B814" s="61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50"/>
      <c r="BG814" s="50"/>
      <c r="BH814" s="50"/>
      <c r="BI814" s="50"/>
      <c r="BJ814" s="50"/>
    </row>
    <row r="815">
      <c r="A815" s="50"/>
      <c r="B815" s="61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0"/>
      <c r="BE815" s="50"/>
      <c r="BF815" s="50"/>
      <c r="BG815" s="50"/>
      <c r="BH815" s="50"/>
      <c r="BI815" s="50"/>
      <c r="BJ815" s="50"/>
    </row>
    <row r="816">
      <c r="A816" s="50"/>
      <c r="B816" s="61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50"/>
      <c r="BG816" s="50"/>
      <c r="BH816" s="50"/>
      <c r="BI816" s="50"/>
      <c r="BJ816" s="50"/>
    </row>
    <row r="817">
      <c r="A817" s="50"/>
      <c r="B817" s="61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50"/>
      <c r="BG817" s="50"/>
      <c r="BH817" s="50"/>
      <c r="BI817" s="50"/>
      <c r="BJ817" s="50"/>
    </row>
    <row r="818">
      <c r="A818" s="50"/>
      <c r="B818" s="61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50"/>
      <c r="BH818" s="50"/>
      <c r="BI818" s="50"/>
      <c r="BJ818" s="50"/>
    </row>
    <row r="819">
      <c r="A819" s="50"/>
      <c r="B819" s="61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0"/>
      <c r="BE819" s="50"/>
      <c r="BF819" s="50"/>
      <c r="BG819" s="50"/>
      <c r="BH819" s="50"/>
      <c r="BI819" s="50"/>
      <c r="BJ819" s="50"/>
    </row>
    <row r="820">
      <c r="A820" s="50"/>
      <c r="B820" s="61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0"/>
      <c r="BE820" s="50"/>
      <c r="BF820" s="50"/>
      <c r="BG820" s="50"/>
      <c r="BH820" s="50"/>
      <c r="BI820" s="50"/>
      <c r="BJ820" s="50"/>
    </row>
    <row r="821">
      <c r="A821" s="50"/>
      <c r="B821" s="61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0"/>
      <c r="BE821" s="50"/>
      <c r="BF821" s="50"/>
      <c r="BG821" s="50"/>
      <c r="BH821" s="50"/>
      <c r="BI821" s="50"/>
      <c r="BJ821" s="50"/>
    </row>
    <row r="822">
      <c r="A822" s="50"/>
      <c r="B822" s="61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50"/>
      <c r="BH822" s="50"/>
      <c r="BI822" s="50"/>
      <c r="BJ822" s="50"/>
    </row>
    <row r="823">
      <c r="A823" s="50"/>
      <c r="B823" s="61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  <c r="BI823" s="50"/>
      <c r="BJ823" s="50"/>
    </row>
    <row r="824">
      <c r="A824" s="50"/>
      <c r="B824" s="61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50"/>
      <c r="BG824" s="50"/>
      <c r="BH824" s="50"/>
      <c r="BI824" s="50"/>
      <c r="BJ824" s="50"/>
    </row>
    <row r="825">
      <c r="A825" s="50"/>
      <c r="B825" s="61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/>
      <c r="BE825" s="50"/>
      <c r="BF825" s="50"/>
      <c r="BG825" s="50"/>
      <c r="BH825" s="50"/>
      <c r="BI825" s="50"/>
      <c r="BJ825" s="50"/>
    </row>
    <row r="826">
      <c r="A826" s="50"/>
      <c r="B826" s="61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50"/>
      <c r="BG826" s="50"/>
      <c r="BH826" s="50"/>
      <c r="BI826" s="50"/>
      <c r="BJ826" s="50"/>
    </row>
    <row r="827">
      <c r="A827" s="50"/>
      <c r="B827" s="61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/>
      <c r="BE827" s="50"/>
      <c r="BF827" s="50"/>
      <c r="BG827" s="50"/>
      <c r="BH827" s="50"/>
      <c r="BI827" s="50"/>
      <c r="BJ827" s="50"/>
    </row>
    <row r="828">
      <c r="A828" s="50"/>
      <c r="B828" s="61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50"/>
      <c r="BG828" s="50"/>
      <c r="BH828" s="50"/>
      <c r="BI828" s="50"/>
      <c r="BJ828" s="50"/>
    </row>
    <row r="829">
      <c r="A829" s="50"/>
      <c r="B829" s="61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/>
      <c r="BE829" s="50"/>
      <c r="BF829" s="50"/>
      <c r="BG829" s="50"/>
      <c r="BH829" s="50"/>
      <c r="BI829" s="50"/>
      <c r="BJ829" s="50"/>
    </row>
    <row r="830">
      <c r="A830" s="50"/>
      <c r="B830" s="61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50"/>
      <c r="AR830" s="50"/>
      <c r="AS830" s="50"/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50"/>
      <c r="BH830" s="50"/>
      <c r="BI830" s="50"/>
      <c r="BJ830" s="50"/>
    </row>
    <row r="831">
      <c r="A831" s="50"/>
      <c r="B831" s="61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50"/>
      <c r="AU831" s="50"/>
      <c r="AV831" s="50"/>
      <c r="AW831" s="50"/>
      <c r="AX831" s="50"/>
      <c r="AY831" s="50"/>
      <c r="AZ831" s="50"/>
      <c r="BA831" s="50"/>
      <c r="BB831" s="50"/>
      <c r="BC831" s="50"/>
      <c r="BD831" s="50"/>
      <c r="BE831" s="50"/>
      <c r="BF831" s="50"/>
      <c r="BG831" s="50"/>
      <c r="BH831" s="50"/>
      <c r="BI831" s="50"/>
      <c r="BJ831" s="50"/>
    </row>
    <row r="832">
      <c r="A832" s="50"/>
      <c r="B832" s="61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50"/>
      <c r="AR832" s="50"/>
      <c r="AS832" s="50"/>
      <c r="AT832" s="50"/>
      <c r="AU832" s="50"/>
      <c r="AV832" s="50"/>
      <c r="AW832" s="50"/>
      <c r="AX832" s="50"/>
      <c r="AY832" s="50"/>
      <c r="AZ832" s="50"/>
      <c r="BA832" s="50"/>
      <c r="BB832" s="50"/>
      <c r="BC832" s="50"/>
      <c r="BD832" s="50"/>
      <c r="BE832" s="50"/>
      <c r="BF832" s="50"/>
      <c r="BG832" s="50"/>
      <c r="BH832" s="50"/>
      <c r="BI832" s="50"/>
      <c r="BJ832" s="50"/>
    </row>
    <row r="833">
      <c r="A833" s="50"/>
      <c r="B833" s="61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  <c r="BI833" s="50"/>
      <c r="BJ833" s="50"/>
    </row>
    <row r="834">
      <c r="A834" s="50"/>
      <c r="B834" s="61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50"/>
      <c r="BH834" s="50"/>
      <c r="BI834" s="50"/>
      <c r="BJ834" s="50"/>
    </row>
    <row r="835">
      <c r="A835" s="50"/>
      <c r="B835" s="61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50"/>
      <c r="BG835" s="50"/>
      <c r="BH835" s="50"/>
      <c r="BI835" s="50"/>
      <c r="BJ835" s="50"/>
    </row>
    <row r="836">
      <c r="A836" s="50"/>
      <c r="B836" s="61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/>
      <c r="BE836" s="50"/>
      <c r="BF836" s="50"/>
      <c r="BG836" s="50"/>
      <c r="BH836" s="50"/>
      <c r="BI836" s="50"/>
      <c r="BJ836" s="50"/>
    </row>
    <row r="837">
      <c r="A837" s="50"/>
      <c r="B837" s="61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/>
      <c r="BE837" s="50"/>
      <c r="BF837" s="50"/>
      <c r="BG837" s="50"/>
      <c r="BH837" s="50"/>
      <c r="BI837" s="50"/>
      <c r="BJ837" s="50"/>
    </row>
    <row r="838">
      <c r="A838" s="50"/>
      <c r="B838" s="61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50"/>
      <c r="BG838" s="50"/>
      <c r="BH838" s="50"/>
      <c r="BI838" s="50"/>
      <c r="BJ838" s="50"/>
    </row>
    <row r="839">
      <c r="A839" s="50"/>
      <c r="B839" s="61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/>
      <c r="BE839" s="50"/>
      <c r="BF839" s="50"/>
      <c r="BG839" s="50"/>
      <c r="BH839" s="50"/>
      <c r="BI839" s="50"/>
      <c r="BJ839" s="50"/>
    </row>
    <row r="840">
      <c r="A840" s="50"/>
      <c r="B840" s="61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/>
      <c r="BE840" s="50"/>
      <c r="BF840" s="50"/>
      <c r="BG840" s="50"/>
      <c r="BH840" s="50"/>
      <c r="BI840" s="50"/>
      <c r="BJ840" s="50"/>
    </row>
    <row r="841">
      <c r="A841" s="50"/>
      <c r="B841" s="61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/>
      <c r="BE841" s="50"/>
      <c r="BF841" s="50"/>
      <c r="BG841" s="50"/>
      <c r="BH841" s="50"/>
      <c r="BI841" s="50"/>
      <c r="BJ841" s="50"/>
    </row>
    <row r="842">
      <c r="A842" s="50"/>
      <c r="B842" s="61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/>
      <c r="BE842" s="50"/>
      <c r="BF842" s="50"/>
      <c r="BG842" s="50"/>
      <c r="BH842" s="50"/>
      <c r="BI842" s="50"/>
      <c r="BJ842" s="50"/>
    </row>
    <row r="843">
      <c r="A843" s="50"/>
      <c r="B843" s="61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</row>
    <row r="844">
      <c r="A844" s="50"/>
      <c r="B844" s="61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  <c r="BI844" s="50"/>
      <c r="BJ844" s="50"/>
    </row>
    <row r="845">
      <c r="A845" s="50"/>
      <c r="B845" s="61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50"/>
      <c r="BG845" s="50"/>
      <c r="BH845" s="50"/>
      <c r="BI845" s="50"/>
      <c r="BJ845" s="50"/>
    </row>
    <row r="846">
      <c r="A846" s="50"/>
      <c r="B846" s="61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  <c r="BI846" s="50"/>
      <c r="BJ846" s="50"/>
    </row>
    <row r="847">
      <c r="A847" s="50"/>
      <c r="B847" s="61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/>
      <c r="BI847" s="50"/>
      <c r="BJ847" s="50"/>
    </row>
    <row r="848">
      <c r="A848" s="50"/>
      <c r="B848" s="61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</row>
    <row r="849">
      <c r="A849" s="50"/>
      <c r="B849" s="61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/>
      <c r="BE849" s="50"/>
      <c r="BF849" s="50"/>
      <c r="BG849" s="50"/>
      <c r="BH849" s="50"/>
      <c r="BI849" s="50"/>
      <c r="BJ849" s="50"/>
    </row>
    <row r="850">
      <c r="A850" s="50"/>
      <c r="B850" s="61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50"/>
      <c r="BH850" s="50"/>
      <c r="BI850" s="50"/>
      <c r="BJ850" s="50"/>
    </row>
    <row r="851">
      <c r="A851" s="50"/>
      <c r="B851" s="61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  <c r="AL851" s="50"/>
      <c r="AM851" s="50"/>
      <c r="AN851" s="50"/>
      <c r="AO851" s="50"/>
      <c r="AP851" s="50"/>
      <c r="AQ851" s="50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0"/>
      <c r="BE851" s="50"/>
      <c r="BF851" s="50"/>
      <c r="BG851" s="50"/>
      <c r="BH851" s="50"/>
      <c r="BI851" s="50"/>
      <c r="BJ851" s="50"/>
    </row>
    <row r="852">
      <c r="A852" s="50"/>
      <c r="B852" s="61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50"/>
      <c r="AL852" s="50"/>
      <c r="AM852" s="50"/>
      <c r="AN852" s="50"/>
      <c r="AO852" s="50"/>
      <c r="AP852" s="50"/>
      <c r="AQ852" s="50"/>
      <c r="AR852" s="50"/>
      <c r="AS852" s="50"/>
      <c r="AT852" s="50"/>
      <c r="AU852" s="50"/>
      <c r="AV852" s="50"/>
      <c r="AW852" s="50"/>
      <c r="AX852" s="50"/>
      <c r="AY852" s="50"/>
      <c r="AZ852" s="50"/>
      <c r="BA852" s="50"/>
      <c r="BB852" s="50"/>
      <c r="BC852" s="50"/>
      <c r="BD852" s="50"/>
      <c r="BE852" s="50"/>
      <c r="BF852" s="50"/>
      <c r="BG852" s="50"/>
      <c r="BH852" s="50"/>
      <c r="BI852" s="50"/>
      <c r="BJ852" s="50"/>
    </row>
    <row r="853">
      <c r="A853" s="50"/>
      <c r="B853" s="61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  <c r="AL853" s="50"/>
      <c r="AM853" s="50"/>
      <c r="AN853" s="50"/>
      <c r="AO853" s="50"/>
      <c r="AP853" s="50"/>
      <c r="AQ853" s="50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  <c r="BI853" s="50"/>
      <c r="BJ853" s="50"/>
    </row>
    <row r="854">
      <c r="A854" s="50"/>
      <c r="B854" s="61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50"/>
      <c r="BH854" s="50"/>
      <c r="BI854" s="50"/>
      <c r="BJ854" s="50"/>
    </row>
    <row r="855">
      <c r="A855" s="50"/>
      <c r="B855" s="61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/>
      <c r="BE855" s="50"/>
      <c r="BF855" s="50"/>
      <c r="BG855" s="50"/>
      <c r="BH855" s="50"/>
      <c r="BI855" s="50"/>
      <c r="BJ855" s="50"/>
    </row>
    <row r="856">
      <c r="A856" s="50"/>
      <c r="B856" s="61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/>
      <c r="BE856" s="50"/>
      <c r="BF856" s="50"/>
      <c r="BG856" s="50"/>
      <c r="BH856" s="50"/>
      <c r="BI856" s="50"/>
      <c r="BJ856" s="50"/>
    </row>
    <row r="857">
      <c r="A857" s="50"/>
      <c r="B857" s="61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/>
      <c r="BE857" s="50"/>
      <c r="BF857" s="50"/>
      <c r="BG857" s="50"/>
      <c r="BH857" s="50"/>
      <c r="BI857" s="50"/>
      <c r="BJ857" s="50"/>
    </row>
    <row r="858">
      <c r="A858" s="50"/>
      <c r="B858" s="61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  <c r="BI858" s="50"/>
      <c r="BJ858" s="50"/>
    </row>
    <row r="859">
      <c r="A859" s="50"/>
      <c r="B859" s="61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50"/>
      <c r="AL859" s="50"/>
      <c r="AM859" s="50"/>
      <c r="AN859" s="50"/>
      <c r="AO859" s="50"/>
      <c r="AP859" s="50"/>
      <c r="AQ859" s="50"/>
      <c r="AR859" s="50"/>
      <c r="AS859" s="50"/>
      <c r="AT859" s="50"/>
      <c r="AU859" s="50"/>
      <c r="AV859" s="50"/>
      <c r="AW859" s="50"/>
      <c r="AX859" s="50"/>
      <c r="AY859" s="50"/>
      <c r="AZ859" s="50"/>
      <c r="BA859" s="50"/>
      <c r="BB859" s="50"/>
      <c r="BC859" s="50"/>
      <c r="BD859" s="50"/>
      <c r="BE859" s="50"/>
      <c r="BF859" s="50"/>
      <c r="BG859" s="50"/>
      <c r="BH859" s="50"/>
      <c r="BI859" s="50"/>
      <c r="BJ859" s="50"/>
    </row>
    <row r="860">
      <c r="A860" s="50"/>
      <c r="B860" s="61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/>
      <c r="BE860" s="50"/>
      <c r="BF860" s="50"/>
      <c r="BG860" s="50"/>
      <c r="BH860" s="50"/>
      <c r="BI860" s="50"/>
      <c r="BJ860" s="50"/>
    </row>
    <row r="861">
      <c r="A861" s="50"/>
      <c r="B861" s="61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50"/>
      <c r="BG861" s="50"/>
      <c r="BH861" s="50"/>
      <c r="BI861" s="50"/>
      <c r="BJ861" s="50"/>
    </row>
    <row r="862">
      <c r="A862" s="50"/>
      <c r="B862" s="61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50"/>
      <c r="BG862" s="50"/>
      <c r="BH862" s="50"/>
      <c r="BI862" s="50"/>
      <c r="BJ862" s="50"/>
    </row>
    <row r="863">
      <c r="A863" s="50"/>
      <c r="B863" s="61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50"/>
      <c r="BG863" s="50"/>
      <c r="BH863" s="50"/>
      <c r="BI863" s="50"/>
      <c r="BJ863" s="50"/>
    </row>
    <row r="864">
      <c r="A864" s="50"/>
      <c r="B864" s="61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  <c r="BI864" s="50"/>
      <c r="BJ864" s="50"/>
    </row>
    <row r="865">
      <c r="A865" s="50"/>
      <c r="B865" s="61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  <c r="BI865" s="50"/>
      <c r="BJ865" s="50"/>
    </row>
    <row r="866">
      <c r="A866" s="50"/>
      <c r="B866" s="61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50"/>
      <c r="BG866" s="50"/>
      <c r="BH866" s="50"/>
      <c r="BI866" s="50"/>
      <c r="BJ866" s="50"/>
    </row>
    <row r="867">
      <c r="A867" s="50"/>
      <c r="B867" s="61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50"/>
      <c r="BG867" s="50"/>
      <c r="BH867" s="50"/>
      <c r="BI867" s="50"/>
      <c r="BJ867" s="50"/>
    </row>
    <row r="868">
      <c r="A868" s="50"/>
      <c r="B868" s="61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/>
      <c r="BE868" s="50"/>
      <c r="BF868" s="50"/>
      <c r="BG868" s="50"/>
      <c r="BH868" s="50"/>
      <c r="BI868" s="50"/>
      <c r="BJ868" s="50"/>
    </row>
    <row r="869">
      <c r="A869" s="50"/>
      <c r="B869" s="61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0"/>
      <c r="BF869" s="50"/>
      <c r="BG869" s="50"/>
      <c r="BH869" s="50"/>
      <c r="BI869" s="50"/>
      <c r="BJ869" s="50"/>
    </row>
    <row r="870">
      <c r="A870" s="50"/>
      <c r="B870" s="61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50"/>
      <c r="AL870" s="50"/>
      <c r="AM870" s="50"/>
      <c r="AN870" s="50"/>
      <c r="AO870" s="50"/>
      <c r="AP870" s="50"/>
      <c r="AQ870" s="50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0"/>
      <c r="BE870" s="50"/>
      <c r="BF870" s="50"/>
      <c r="BG870" s="50"/>
      <c r="BH870" s="50"/>
      <c r="BI870" s="50"/>
      <c r="BJ870" s="50"/>
    </row>
    <row r="871">
      <c r="A871" s="50"/>
      <c r="B871" s="61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/>
      <c r="BE871" s="50"/>
      <c r="BF871" s="50"/>
      <c r="BG871" s="50"/>
      <c r="BH871" s="50"/>
      <c r="BI871" s="50"/>
      <c r="BJ871" s="50"/>
    </row>
    <row r="872">
      <c r="A872" s="50"/>
      <c r="B872" s="61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0"/>
      <c r="BF872" s="50"/>
      <c r="BG872" s="50"/>
      <c r="BH872" s="50"/>
      <c r="BI872" s="50"/>
      <c r="BJ872" s="50"/>
    </row>
    <row r="873">
      <c r="A873" s="50"/>
      <c r="B873" s="61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/>
      <c r="BE873" s="50"/>
      <c r="BF873" s="50"/>
      <c r="BG873" s="50"/>
      <c r="BH873" s="50"/>
      <c r="BI873" s="50"/>
      <c r="BJ873" s="50"/>
    </row>
    <row r="874">
      <c r="A874" s="50"/>
      <c r="B874" s="61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50"/>
      <c r="BH874" s="50"/>
      <c r="BI874" s="50"/>
      <c r="BJ874" s="50"/>
    </row>
    <row r="875">
      <c r="A875" s="50"/>
      <c r="B875" s="61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0"/>
      <c r="BF875" s="50"/>
      <c r="BG875" s="50"/>
      <c r="BH875" s="50"/>
      <c r="BI875" s="50"/>
      <c r="BJ875" s="50"/>
    </row>
    <row r="876">
      <c r="A876" s="50"/>
      <c r="B876" s="61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/>
      <c r="BE876" s="50"/>
      <c r="BF876" s="50"/>
      <c r="BG876" s="50"/>
      <c r="BH876" s="50"/>
      <c r="BI876" s="50"/>
      <c r="BJ876" s="50"/>
    </row>
    <row r="877">
      <c r="A877" s="50"/>
      <c r="B877" s="61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/>
      <c r="BE877" s="50"/>
      <c r="BF877" s="50"/>
      <c r="BG877" s="50"/>
      <c r="BH877" s="50"/>
      <c r="BI877" s="50"/>
      <c r="BJ877" s="50"/>
    </row>
    <row r="878">
      <c r="A878" s="50"/>
      <c r="B878" s="61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50"/>
      <c r="BG878" s="50"/>
      <c r="BH878" s="50"/>
      <c r="BI878" s="50"/>
      <c r="BJ878" s="50"/>
    </row>
    <row r="879">
      <c r="A879" s="50"/>
      <c r="B879" s="61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  <c r="AL879" s="50"/>
      <c r="AM879" s="50"/>
      <c r="AN879" s="50"/>
      <c r="AO879" s="50"/>
      <c r="AP879" s="50"/>
      <c r="AQ879" s="50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0"/>
      <c r="BE879" s="50"/>
      <c r="BF879" s="50"/>
      <c r="BG879" s="50"/>
      <c r="BH879" s="50"/>
      <c r="BI879" s="50"/>
      <c r="BJ879" s="50"/>
    </row>
    <row r="880">
      <c r="A880" s="50"/>
      <c r="B880" s="61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50"/>
      <c r="AL880" s="50"/>
      <c r="AM880" s="50"/>
      <c r="AN880" s="50"/>
      <c r="AO880" s="50"/>
      <c r="AP880" s="50"/>
      <c r="AQ880" s="50"/>
      <c r="AR880" s="50"/>
      <c r="AS880" s="50"/>
      <c r="AT880" s="50"/>
      <c r="AU880" s="50"/>
      <c r="AV880" s="50"/>
      <c r="AW880" s="50"/>
      <c r="AX880" s="50"/>
      <c r="AY880" s="50"/>
      <c r="AZ880" s="50"/>
      <c r="BA880" s="50"/>
      <c r="BB880" s="50"/>
      <c r="BC880" s="50"/>
      <c r="BD880" s="50"/>
      <c r="BE880" s="50"/>
      <c r="BF880" s="50"/>
      <c r="BG880" s="50"/>
      <c r="BH880" s="50"/>
      <c r="BI880" s="50"/>
      <c r="BJ880" s="50"/>
    </row>
    <row r="881">
      <c r="A881" s="50"/>
      <c r="B881" s="61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0"/>
      <c r="AK881" s="50"/>
      <c r="AL881" s="50"/>
      <c r="AM881" s="50"/>
      <c r="AN881" s="50"/>
      <c r="AO881" s="50"/>
      <c r="AP881" s="50"/>
      <c r="AQ881" s="50"/>
      <c r="AR881" s="50"/>
      <c r="AS881" s="50"/>
      <c r="AT881" s="50"/>
      <c r="AU881" s="50"/>
      <c r="AV881" s="50"/>
      <c r="AW881" s="50"/>
      <c r="AX881" s="50"/>
      <c r="AY881" s="50"/>
      <c r="AZ881" s="50"/>
      <c r="BA881" s="50"/>
      <c r="BB881" s="50"/>
      <c r="BC881" s="50"/>
      <c r="BD881" s="50"/>
      <c r="BE881" s="50"/>
      <c r="BF881" s="50"/>
      <c r="BG881" s="50"/>
      <c r="BH881" s="50"/>
      <c r="BI881" s="50"/>
      <c r="BJ881" s="50"/>
    </row>
    <row r="882">
      <c r="A882" s="50"/>
      <c r="B882" s="61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0"/>
      <c r="AK882" s="50"/>
      <c r="AL882" s="50"/>
      <c r="AM882" s="50"/>
      <c r="AN882" s="50"/>
      <c r="AO882" s="50"/>
      <c r="AP882" s="50"/>
      <c r="AQ882" s="50"/>
      <c r="AR882" s="50"/>
      <c r="AS882" s="50"/>
      <c r="AT882" s="50"/>
      <c r="AU882" s="50"/>
      <c r="AV882" s="50"/>
      <c r="AW882" s="50"/>
      <c r="AX882" s="50"/>
      <c r="AY882" s="50"/>
      <c r="AZ882" s="50"/>
      <c r="BA882" s="50"/>
      <c r="BB882" s="50"/>
      <c r="BC882" s="50"/>
      <c r="BD882" s="50"/>
      <c r="BE882" s="50"/>
      <c r="BF882" s="50"/>
      <c r="BG882" s="50"/>
      <c r="BH882" s="50"/>
      <c r="BI882" s="50"/>
      <c r="BJ882" s="50"/>
    </row>
    <row r="883">
      <c r="A883" s="50"/>
      <c r="B883" s="61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/>
      <c r="BE883" s="50"/>
      <c r="BF883" s="50"/>
      <c r="BG883" s="50"/>
      <c r="BH883" s="50"/>
      <c r="BI883" s="50"/>
      <c r="BJ883" s="50"/>
    </row>
    <row r="884">
      <c r="A884" s="50"/>
      <c r="B884" s="61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  <c r="AL884" s="50"/>
      <c r="AM884" s="50"/>
      <c r="AN884" s="50"/>
      <c r="AO884" s="50"/>
      <c r="AP884" s="50"/>
      <c r="AQ884" s="50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0"/>
      <c r="BE884" s="50"/>
      <c r="BF884" s="50"/>
      <c r="BG884" s="50"/>
      <c r="BH884" s="50"/>
      <c r="BI884" s="50"/>
      <c r="BJ884" s="50"/>
    </row>
    <row r="885">
      <c r="A885" s="50"/>
      <c r="B885" s="61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50"/>
      <c r="BG885" s="50"/>
      <c r="BH885" s="50"/>
      <c r="BI885" s="50"/>
      <c r="BJ885" s="50"/>
    </row>
    <row r="886">
      <c r="A886" s="50"/>
      <c r="B886" s="61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/>
      <c r="BE886" s="50"/>
      <c r="BF886" s="50"/>
      <c r="BG886" s="50"/>
      <c r="BH886" s="50"/>
      <c r="BI886" s="50"/>
      <c r="BJ886" s="50"/>
    </row>
    <row r="887">
      <c r="A887" s="50"/>
      <c r="B887" s="61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/>
      <c r="BE887" s="50"/>
      <c r="BF887" s="50"/>
      <c r="BG887" s="50"/>
      <c r="BH887" s="50"/>
      <c r="BI887" s="50"/>
      <c r="BJ887" s="50"/>
    </row>
    <row r="888">
      <c r="A888" s="50"/>
      <c r="B888" s="61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  <c r="AL888" s="50"/>
      <c r="AM888" s="50"/>
      <c r="AN888" s="50"/>
      <c r="AO888" s="50"/>
      <c r="AP888" s="50"/>
      <c r="AQ888" s="50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0"/>
      <c r="BE888" s="50"/>
      <c r="BF888" s="50"/>
      <c r="BG888" s="50"/>
      <c r="BH888" s="50"/>
      <c r="BI888" s="50"/>
      <c r="BJ888" s="50"/>
    </row>
    <row r="889">
      <c r="A889" s="50"/>
      <c r="B889" s="61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0"/>
      <c r="BE889" s="50"/>
      <c r="BF889" s="50"/>
      <c r="BG889" s="50"/>
      <c r="BH889" s="50"/>
      <c r="BI889" s="50"/>
      <c r="BJ889" s="50"/>
    </row>
    <row r="890">
      <c r="A890" s="50"/>
      <c r="B890" s="61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50"/>
      <c r="BG890" s="50"/>
      <c r="BH890" s="50"/>
      <c r="BI890" s="50"/>
      <c r="BJ890" s="50"/>
    </row>
    <row r="891">
      <c r="A891" s="50"/>
      <c r="B891" s="61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  <c r="AL891" s="50"/>
      <c r="AM891" s="50"/>
      <c r="AN891" s="50"/>
      <c r="AO891" s="50"/>
      <c r="AP891" s="50"/>
      <c r="AQ891" s="50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0"/>
      <c r="BE891" s="50"/>
      <c r="BF891" s="50"/>
      <c r="BG891" s="50"/>
      <c r="BH891" s="50"/>
      <c r="BI891" s="50"/>
      <c r="BJ891" s="50"/>
    </row>
    <row r="892">
      <c r="A892" s="50"/>
      <c r="B892" s="61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50"/>
      <c r="BH892" s="50"/>
      <c r="BI892" s="50"/>
      <c r="BJ892" s="50"/>
    </row>
    <row r="893">
      <c r="A893" s="50"/>
      <c r="B893" s="61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  <c r="AL893" s="50"/>
      <c r="AM893" s="50"/>
      <c r="AN893" s="50"/>
      <c r="AO893" s="50"/>
      <c r="AP893" s="50"/>
      <c r="AQ893" s="50"/>
      <c r="AR893" s="50"/>
      <c r="AS893" s="50"/>
      <c r="AT893" s="50"/>
      <c r="AU893" s="50"/>
      <c r="AV893" s="50"/>
      <c r="AW893" s="50"/>
      <c r="AX893" s="50"/>
      <c r="AY893" s="50"/>
      <c r="AZ893" s="50"/>
      <c r="BA893" s="50"/>
      <c r="BB893" s="50"/>
      <c r="BC893" s="50"/>
      <c r="BD893" s="50"/>
      <c r="BE893" s="50"/>
      <c r="BF893" s="50"/>
      <c r="BG893" s="50"/>
      <c r="BH893" s="50"/>
      <c r="BI893" s="50"/>
      <c r="BJ893" s="50"/>
    </row>
    <row r="894">
      <c r="A894" s="50"/>
      <c r="B894" s="61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  <c r="AL894" s="50"/>
      <c r="AM894" s="50"/>
      <c r="AN894" s="50"/>
      <c r="AO894" s="50"/>
      <c r="AP894" s="50"/>
      <c r="AQ894" s="50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0"/>
      <c r="BE894" s="50"/>
      <c r="BF894" s="50"/>
      <c r="BG894" s="50"/>
      <c r="BH894" s="50"/>
      <c r="BI894" s="50"/>
      <c r="BJ894" s="50"/>
    </row>
    <row r="895">
      <c r="A895" s="50"/>
      <c r="B895" s="61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0"/>
      <c r="AK895" s="50"/>
      <c r="AL895" s="50"/>
      <c r="AM895" s="50"/>
      <c r="AN895" s="50"/>
      <c r="AO895" s="50"/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/>
      <c r="BE895" s="50"/>
      <c r="BF895" s="50"/>
      <c r="BG895" s="50"/>
      <c r="BH895" s="50"/>
      <c r="BI895" s="50"/>
      <c r="BJ895" s="50"/>
    </row>
    <row r="896">
      <c r="A896" s="50"/>
      <c r="B896" s="61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0"/>
      <c r="BF896" s="50"/>
      <c r="BG896" s="50"/>
      <c r="BH896" s="50"/>
      <c r="BI896" s="50"/>
      <c r="BJ896" s="50"/>
    </row>
    <row r="897">
      <c r="A897" s="50"/>
      <c r="B897" s="61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50"/>
      <c r="BG897" s="50"/>
      <c r="BH897" s="50"/>
      <c r="BI897" s="50"/>
      <c r="BJ897" s="50"/>
    </row>
    <row r="898">
      <c r="A898" s="50"/>
      <c r="B898" s="61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50"/>
      <c r="BG898" s="50"/>
      <c r="BH898" s="50"/>
      <c r="BI898" s="50"/>
      <c r="BJ898" s="50"/>
    </row>
    <row r="899">
      <c r="A899" s="50"/>
      <c r="B899" s="61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50"/>
      <c r="BG899" s="50"/>
      <c r="BH899" s="50"/>
      <c r="BI899" s="50"/>
      <c r="BJ899" s="50"/>
    </row>
    <row r="900">
      <c r="A900" s="50"/>
      <c r="B900" s="61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  <c r="AL900" s="50"/>
      <c r="AM900" s="50"/>
      <c r="AN900" s="50"/>
      <c r="AO900" s="50"/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/>
      <c r="BE900" s="50"/>
      <c r="BF900" s="50"/>
      <c r="BG900" s="50"/>
      <c r="BH900" s="50"/>
      <c r="BI900" s="50"/>
      <c r="BJ900" s="50"/>
    </row>
    <row r="901">
      <c r="A901" s="50"/>
      <c r="B901" s="61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  <c r="AL901" s="50"/>
      <c r="AM901" s="50"/>
      <c r="AN901" s="50"/>
      <c r="AO901" s="50"/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/>
      <c r="BE901" s="50"/>
      <c r="BF901" s="50"/>
      <c r="BG901" s="50"/>
      <c r="BH901" s="50"/>
      <c r="BI901" s="50"/>
      <c r="BJ901" s="50"/>
    </row>
    <row r="902">
      <c r="A902" s="50"/>
      <c r="B902" s="61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50"/>
      <c r="AN902" s="50"/>
      <c r="AO902" s="50"/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50"/>
      <c r="BG902" s="50"/>
      <c r="BH902" s="50"/>
      <c r="BI902" s="50"/>
      <c r="BJ902" s="50"/>
    </row>
    <row r="903">
      <c r="A903" s="50"/>
      <c r="B903" s="61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  <c r="AL903" s="50"/>
      <c r="AM903" s="50"/>
      <c r="AN903" s="50"/>
      <c r="AO903" s="50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/>
      <c r="BE903" s="50"/>
      <c r="BF903" s="50"/>
      <c r="BG903" s="50"/>
      <c r="BH903" s="50"/>
      <c r="BI903" s="50"/>
      <c r="BJ903" s="50"/>
    </row>
    <row r="904">
      <c r="A904" s="50"/>
      <c r="B904" s="61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  <c r="AL904" s="50"/>
      <c r="AM904" s="50"/>
      <c r="AN904" s="50"/>
      <c r="AO904" s="50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/>
      <c r="BE904" s="50"/>
      <c r="BF904" s="50"/>
      <c r="BG904" s="50"/>
      <c r="BH904" s="50"/>
      <c r="BI904" s="50"/>
      <c r="BJ904" s="50"/>
    </row>
    <row r="905">
      <c r="A905" s="50"/>
      <c r="B905" s="61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50"/>
      <c r="BG905" s="50"/>
      <c r="BH905" s="50"/>
      <c r="BI905" s="50"/>
      <c r="BJ905" s="50"/>
    </row>
    <row r="906">
      <c r="A906" s="50"/>
      <c r="B906" s="61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0"/>
      <c r="AK906" s="50"/>
      <c r="AL906" s="50"/>
      <c r="AM906" s="50"/>
      <c r="AN906" s="50"/>
      <c r="AO906" s="50"/>
      <c r="AP906" s="50"/>
      <c r="AQ906" s="50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0"/>
      <c r="BE906" s="50"/>
      <c r="BF906" s="50"/>
      <c r="BG906" s="50"/>
      <c r="BH906" s="50"/>
      <c r="BI906" s="50"/>
      <c r="BJ906" s="50"/>
    </row>
    <row r="907">
      <c r="A907" s="50"/>
      <c r="B907" s="61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/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/>
      <c r="BB907" s="50"/>
      <c r="BC907" s="50"/>
      <c r="BD907" s="50"/>
      <c r="BE907" s="50"/>
      <c r="BF907" s="50"/>
      <c r="BG907" s="50"/>
      <c r="BH907" s="50"/>
      <c r="BI907" s="50"/>
      <c r="BJ907" s="50"/>
    </row>
    <row r="908">
      <c r="A908" s="50"/>
      <c r="B908" s="61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0"/>
      <c r="AK908" s="50"/>
      <c r="AL908" s="50"/>
      <c r="AM908" s="50"/>
      <c r="AN908" s="50"/>
      <c r="AO908" s="50"/>
      <c r="AP908" s="50"/>
      <c r="AQ908" s="50"/>
      <c r="AR908" s="50"/>
      <c r="AS908" s="50"/>
      <c r="AT908" s="50"/>
      <c r="AU908" s="50"/>
      <c r="AV908" s="50"/>
      <c r="AW908" s="50"/>
      <c r="AX908" s="50"/>
      <c r="AY908" s="50"/>
      <c r="AZ908" s="50"/>
      <c r="BA908" s="50"/>
      <c r="BB908" s="50"/>
      <c r="BC908" s="50"/>
      <c r="BD908" s="50"/>
      <c r="BE908" s="50"/>
      <c r="BF908" s="50"/>
      <c r="BG908" s="50"/>
      <c r="BH908" s="50"/>
      <c r="BI908" s="50"/>
      <c r="BJ908" s="50"/>
    </row>
    <row r="909">
      <c r="A909" s="50"/>
      <c r="B909" s="61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/>
      <c r="BE909" s="50"/>
      <c r="BF909" s="50"/>
      <c r="BG909" s="50"/>
      <c r="BH909" s="50"/>
      <c r="BI909" s="50"/>
      <c r="BJ909" s="50"/>
    </row>
    <row r="910">
      <c r="A910" s="50"/>
      <c r="B910" s="61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/>
      <c r="BE910" s="50"/>
      <c r="BF910" s="50"/>
      <c r="BG910" s="50"/>
      <c r="BH910" s="50"/>
      <c r="BI910" s="50"/>
      <c r="BJ910" s="50"/>
    </row>
    <row r="911">
      <c r="A911" s="50"/>
      <c r="B911" s="61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/>
      <c r="BE911" s="50"/>
      <c r="BF911" s="50"/>
      <c r="BG911" s="50"/>
      <c r="BH911" s="50"/>
      <c r="BI911" s="50"/>
      <c r="BJ911" s="50"/>
    </row>
    <row r="912">
      <c r="A912" s="50"/>
      <c r="B912" s="61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/>
      <c r="BE912" s="50"/>
      <c r="BF912" s="50"/>
      <c r="BG912" s="50"/>
      <c r="BH912" s="50"/>
      <c r="BI912" s="50"/>
      <c r="BJ912" s="50"/>
    </row>
    <row r="913">
      <c r="A913" s="50"/>
      <c r="B913" s="61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  <c r="AL913" s="50"/>
      <c r="AM913" s="50"/>
      <c r="AN913" s="50"/>
      <c r="AO913" s="50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50"/>
      <c r="BG913" s="50"/>
      <c r="BH913" s="50"/>
      <c r="BI913" s="50"/>
      <c r="BJ913" s="50"/>
    </row>
    <row r="914">
      <c r="A914" s="50"/>
      <c r="B914" s="61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50"/>
      <c r="BH914" s="50"/>
      <c r="BI914" s="50"/>
      <c r="BJ914" s="50"/>
    </row>
    <row r="915">
      <c r="A915" s="50"/>
      <c r="B915" s="61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  <c r="AL915" s="50"/>
      <c r="AM915" s="50"/>
      <c r="AN915" s="50"/>
      <c r="AO915" s="50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/>
      <c r="BE915" s="50"/>
      <c r="BF915" s="50"/>
      <c r="BG915" s="50"/>
      <c r="BH915" s="50"/>
      <c r="BI915" s="50"/>
      <c r="BJ915" s="50"/>
    </row>
    <row r="916">
      <c r="A916" s="50"/>
      <c r="B916" s="61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50"/>
      <c r="BG916" s="50"/>
      <c r="BH916" s="50"/>
      <c r="BI916" s="50"/>
      <c r="BJ916" s="50"/>
    </row>
    <row r="917">
      <c r="A917" s="50"/>
      <c r="B917" s="61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/>
      <c r="BE917" s="50"/>
      <c r="BF917" s="50"/>
      <c r="BG917" s="50"/>
      <c r="BH917" s="50"/>
      <c r="BI917" s="50"/>
      <c r="BJ917" s="50"/>
    </row>
    <row r="918">
      <c r="A918" s="50"/>
      <c r="B918" s="61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0"/>
      <c r="AK918" s="50"/>
      <c r="AL918" s="50"/>
      <c r="AM918" s="50"/>
      <c r="AN918" s="50"/>
      <c r="AO918" s="50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50"/>
      <c r="BH918" s="50"/>
      <c r="BI918" s="50"/>
      <c r="BJ918" s="50"/>
    </row>
    <row r="919">
      <c r="A919" s="50"/>
      <c r="B919" s="61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0"/>
      <c r="AK919" s="50"/>
      <c r="AL919" s="50"/>
      <c r="AM919" s="50"/>
      <c r="AN919" s="50"/>
      <c r="AO919" s="50"/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/>
      <c r="BE919" s="50"/>
      <c r="BF919" s="50"/>
      <c r="BG919" s="50"/>
      <c r="BH919" s="50"/>
      <c r="BI919" s="50"/>
      <c r="BJ919" s="50"/>
    </row>
    <row r="920">
      <c r="A920" s="50"/>
      <c r="B920" s="61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50"/>
      <c r="BG920" s="50"/>
      <c r="BH920" s="50"/>
      <c r="BI920" s="50"/>
      <c r="BJ920" s="50"/>
    </row>
    <row r="921">
      <c r="A921" s="50"/>
      <c r="B921" s="61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50"/>
      <c r="BG921" s="50"/>
      <c r="BH921" s="50"/>
      <c r="BI921" s="50"/>
      <c r="BJ921" s="50"/>
    </row>
    <row r="922">
      <c r="A922" s="50"/>
      <c r="B922" s="61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50"/>
      <c r="BG922" s="50"/>
      <c r="BH922" s="50"/>
      <c r="BI922" s="50"/>
      <c r="BJ922" s="50"/>
    </row>
    <row r="923">
      <c r="A923" s="50"/>
      <c r="B923" s="61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50"/>
      <c r="BG923" s="50"/>
      <c r="BH923" s="50"/>
      <c r="BI923" s="50"/>
      <c r="BJ923" s="50"/>
    </row>
    <row r="924">
      <c r="A924" s="50"/>
      <c r="B924" s="61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0"/>
      <c r="BE924" s="50"/>
      <c r="BF924" s="50"/>
      <c r="BG924" s="50"/>
      <c r="BH924" s="50"/>
      <c r="BI924" s="50"/>
      <c r="BJ924" s="50"/>
    </row>
    <row r="925">
      <c r="A925" s="50"/>
      <c r="B925" s="61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  <c r="AL925" s="50"/>
      <c r="AM925" s="50"/>
      <c r="AN925" s="50"/>
      <c r="AO925" s="50"/>
      <c r="AP925" s="50"/>
      <c r="AQ925" s="50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0"/>
      <c r="BE925" s="50"/>
      <c r="BF925" s="50"/>
      <c r="BG925" s="50"/>
      <c r="BH925" s="50"/>
      <c r="BI925" s="50"/>
      <c r="BJ925" s="50"/>
    </row>
    <row r="926">
      <c r="A926" s="50"/>
      <c r="B926" s="61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0"/>
      <c r="BF926" s="50"/>
      <c r="BG926" s="50"/>
      <c r="BH926" s="50"/>
      <c r="BI926" s="50"/>
      <c r="BJ926" s="50"/>
    </row>
    <row r="927">
      <c r="A927" s="50"/>
      <c r="B927" s="61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50"/>
      <c r="BG927" s="50"/>
      <c r="BH927" s="50"/>
      <c r="BI927" s="50"/>
      <c r="BJ927" s="50"/>
    </row>
    <row r="928">
      <c r="A928" s="50"/>
      <c r="B928" s="61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50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0"/>
      <c r="BE928" s="50"/>
      <c r="BF928" s="50"/>
      <c r="BG928" s="50"/>
      <c r="BH928" s="50"/>
      <c r="BI928" s="50"/>
      <c r="BJ928" s="50"/>
    </row>
    <row r="929">
      <c r="A929" s="50"/>
      <c r="B929" s="61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50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0"/>
      <c r="BE929" s="50"/>
      <c r="BF929" s="50"/>
      <c r="BG929" s="50"/>
      <c r="BH929" s="50"/>
      <c r="BI929" s="50"/>
      <c r="BJ929" s="50"/>
    </row>
    <row r="930">
      <c r="A930" s="50"/>
      <c r="B930" s="61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/>
      <c r="BE930" s="50"/>
      <c r="BF930" s="50"/>
      <c r="BG930" s="50"/>
      <c r="BH930" s="50"/>
      <c r="BI930" s="50"/>
      <c r="BJ930" s="50"/>
    </row>
    <row r="931">
      <c r="A931" s="50"/>
      <c r="B931" s="61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  <c r="AL931" s="50"/>
      <c r="AM931" s="50"/>
      <c r="AN931" s="50"/>
      <c r="AO931" s="50"/>
      <c r="AP931" s="50"/>
      <c r="AQ931" s="50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0"/>
      <c r="BE931" s="50"/>
      <c r="BF931" s="50"/>
      <c r="BG931" s="50"/>
      <c r="BH931" s="50"/>
      <c r="BI931" s="50"/>
      <c r="BJ931" s="50"/>
    </row>
    <row r="932">
      <c r="A932" s="50"/>
      <c r="B932" s="61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/>
      <c r="BE932" s="50"/>
      <c r="BF932" s="50"/>
      <c r="BG932" s="50"/>
      <c r="BH932" s="50"/>
      <c r="BI932" s="50"/>
      <c r="BJ932" s="50"/>
    </row>
    <row r="933">
      <c r="A933" s="50"/>
      <c r="B933" s="61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0"/>
      <c r="BE933" s="50"/>
      <c r="BF933" s="50"/>
      <c r="BG933" s="50"/>
      <c r="BH933" s="50"/>
      <c r="BI933" s="50"/>
      <c r="BJ933" s="50"/>
    </row>
    <row r="934">
      <c r="A934" s="50"/>
      <c r="B934" s="61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/>
      <c r="BE934" s="50"/>
      <c r="BF934" s="50"/>
      <c r="BG934" s="50"/>
      <c r="BH934" s="50"/>
      <c r="BI934" s="50"/>
      <c r="BJ934" s="50"/>
    </row>
    <row r="935">
      <c r="A935" s="50"/>
      <c r="B935" s="61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50"/>
      <c r="AU935" s="50"/>
      <c r="AV935" s="50"/>
      <c r="AW935" s="50"/>
      <c r="AX935" s="50"/>
      <c r="AY935" s="50"/>
      <c r="AZ935" s="50"/>
      <c r="BA935" s="50"/>
      <c r="BB935" s="50"/>
      <c r="BC935" s="50"/>
      <c r="BD935" s="50"/>
      <c r="BE935" s="50"/>
      <c r="BF935" s="50"/>
      <c r="BG935" s="50"/>
      <c r="BH935" s="50"/>
      <c r="BI935" s="50"/>
      <c r="BJ935" s="50"/>
    </row>
    <row r="936">
      <c r="A936" s="50"/>
      <c r="B936" s="61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50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0"/>
      <c r="BE936" s="50"/>
      <c r="BF936" s="50"/>
      <c r="BG936" s="50"/>
      <c r="BH936" s="50"/>
      <c r="BI936" s="50"/>
      <c r="BJ936" s="50"/>
    </row>
    <row r="937">
      <c r="A937" s="50"/>
      <c r="B937" s="61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50"/>
      <c r="AU937" s="50"/>
      <c r="AV937" s="50"/>
      <c r="AW937" s="50"/>
      <c r="AX937" s="50"/>
      <c r="AY937" s="50"/>
      <c r="AZ937" s="50"/>
      <c r="BA937" s="50"/>
      <c r="BB937" s="50"/>
      <c r="BC937" s="50"/>
      <c r="BD937" s="50"/>
      <c r="BE937" s="50"/>
      <c r="BF937" s="50"/>
      <c r="BG937" s="50"/>
      <c r="BH937" s="50"/>
      <c r="BI937" s="50"/>
      <c r="BJ937" s="50"/>
    </row>
    <row r="938">
      <c r="A938" s="50"/>
      <c r="B938" s="61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0"/>
      <c r="BF938" s="50"/>
      <c r="BG938" s="50"/>
      <c r="BH938" s="50"/>
      <c r="BI938" s="50"/>
      <c r="BJ938" s="50"/>
    </row>
    <row r="939">
      <c r="A939" s="50"/>
      <c r="B939" s="61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0"/>
      <c r="BE939" s="50"/>
      <c r="BF939" s="50"/>
      <c r="BG939" s="50"/>
      <c r="BH939" s="50"/>
      <c r="BI939" s="50"/>
      <c r="BJ939" s="50"/>
    </row>
    <row r="940">
      <c r="A940" s="50"/>
      <c r="B940" s="61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50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50"/>
      <c r="BG940" s="50"/>
      <c r="BH940" s="50"/>
      <c r="BI940" s="50"/>
      <c r="BJ940" s="50"/>
    </row>
    <row r="941">
      <c r="A941" s="50"/>
      <c r="B941" s="61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0"/>
      <c r="BE941" s="50"/>
      <c r="BF941" s="50"/>
      <c r="BG941" s="50"/>
      <c r="BH941" s="50"/>
      <c r="BI941" s="50"/>
      <c r="BJ941" s="50"/>
    </row>
    <row r="942">
      <c r="A942" s="50"/>
      <c r="B942" s="61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/>
      <c r="BE942" s="50"/>
      <c r="BF942" s="50"/>
      <c r="BG942" s="50"/>
      <c r="BH942" s="50"/>
      <c r="BI942" s="50"/>
      <c r="BJ942" s="50"/>
    </row>
    <row r="943">
      <c r="A943" s="50"/>
      <c r="B943" s="61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/>
      <c r="BE943" s="50"/>
      <c r="BF943" s="50"/>
      <c r="BG943" s="50"/>
      <c r="BH943" s="50"/>
      <c r="BI943" s="50"/>
      <c r="BJ943" s="50"/>
    </row>
    <row r="944">
      <c r="A944" s="50"/>
      <c r="B944" s="61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50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0"/>
      <c r="BE944" s="50"/>
      <c r="BF944" s="50"/>
      <c r="BG944" s="50"/>
      <c r="BH944" s="50"/>
      <c r="BI944" s="50"/>
      <c r="BJ944" s="50"/>
    </row>
    <row r="945">
      <c r="A945" s="50"/>
      <c r="B945" s="61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0"/>
      <c r="BE945" s="50"/>
      <c r="BF945" s="50"/>
      <c r="BG945" s="50"/>
      <c r="BH945" s="50"/>
      <c r="BI945" s="50"/>
      <c r="BJ945" s="50"/>
    </row>
    <row r="946">
      <c r="A946" s="50"/>
      <c r="B946" s="61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/>
      <c r="BE946" s="50"/>
      <c r="BF946" s="50"/>
      <c r="BG946" s="50"/>
      <c r="BH946" s="50"/>
      <c r="BI946" s="50"/>
      <c r="BJ946" s="50"/>
    </row>
    <row r="947">
      <c r="A947" s="50"/>
      <c r="B947" s="61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/>
      <c r="BE947" s="50"/>
      <c r="BF947" s="50"/>
      <c r="BG947" s="50"/>
      <c r="BH947" s="50"/>
      <c r="BI947" s="50"/>
      <c r="BJ947" s="50"/>
    </row>
    <row r="948">
      <c r="A948" s="50"/>
      <c r="B948" s="61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0"/>
      <c r="BE948" s="50"/>
      <c r="BF948" s="50"/>
      <c r="BG948" s="50"/>
      <c r="BH948" s="50"/>
      <c r="BI948" s="50"/>
      <c r="BJ948" s="50"/>
    </row>
    <row r="949">
      <c r="A949" s="50"/>
      <c r="B949" s="61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0"/>
      <c r="BE949" s="50"/>
      <c r="BF949" s="50"/>
      <c r="BG949" s="50"/>
      <c r="BH949" s="50"/>
      <c r="BI949" s="50"/>
      <c r="BJ949" s="50"/>
    </row>
    <row r="950">
      <c r="A950" s="50"/>
      <c r="B950" s="61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50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/>
      <c r="BE950" s="50"/>
      <c r="BF950" s="50"/>
      <c r="BG950" s="50"/>
      <c r="BH950" s="50"/>
      <c r="BI950" s="50"/>
      <c r="BJ950" s="50"/>
    </row>
    <row r="951">
      <c r="A951" s="50"/>
      <c r="B951" s="61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50"/>
      <c r="BG951" s="50"/>
      <c r="BH951" s="50"/>
      <c r="BI951" s="50"/>
      <c r="BJ951" s="50"/>
    </row>
    <row r="952">
      <c r="A952" s="50"/>
      <c r="B952" s="61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50"/>
      <c r="BG952" s="50"/>
      <c r="BH952" s="50"/>
      <c r="BI952" s="50"/>
      <c r="BJ952" s="50"/>
    </row>
    <row r="953">
      <c r="A953" s="50"/>
      <c r="B953" s="61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/>
      <c r="BE953" s="50"/>
      <c r="BF953" s="50"/>
      <c r="BG953" s="50"/>
      <c r="BH953" s="50"/>
      <c r="BI953" s="50"/>
      <c r="BJ953" s="50"/>
    </row>
    <row r="954">
      <c r="A954" s="50"/>
      <c r="B954" s="61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/>
      <c r="BE954" s="50"/>
      <c r="BF954" s="50"/>
      <c r="BG954" s="50"/>
      <c r="BH954" s="50"/>
      <c r="BI954" s="50"/>
      <c r="BJ954" s="50"/>
    </row>
    <row r="955">
      <c r="A955" s="50"/>
      <c r="B955" s="61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0"/>
      <c r="BE955" s="50"/>
      <c r="BF955" s="50"/>
      <c r="BG955" s="50"/>
      <c r="BH955" s="50"/>
      <c r="BI955" s="50"/>
      <c r="BJ955" s="50"/>
    </row>
    <row r="956">
      <c r="A956" s="50"/>
      <c r="B956" s="61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/>
      <c r="BE956" s="50"/>
      <c r="BF956" s="50"/>
      <c r="BG956" s="50"/>
      <c r="BH956" s="50"/>
      <c r="BI956" s="50"/>
      <c r="BJ956" s="50"/>
    </row>
    <row r="957">
      <c r="A957" s="50"/>
      <c r="B957" s="61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0"/>
      <c r="BE957" s="50"/>
      <c r="BF957" s="50"/>
      <c r="BG957" s="50"/>
      <c r="BH957" s="50"/>
      <c r="BI957" s="50"/>
      <c r="BJ957" s="50"/>
    </row>
    <row r="958">
      <c r="A958" s="50"/>
      <c r="B958" s="61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/>
      <c r="BE958" s="50"/>
      <c r="BF958" s="50"/>
      <c r="BG958" s="50"/>
      <c r="BH958" s="50"/>
      <c r="BI958" s="50"/>
      <c r="BJ958" s="50"/>
    </row>
    <row r="959">
      <c r="A959" s="50"/>
      <c r="B959" s="61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/>
      <c r="BE959" s="50"/>
      <c r="BF959" s="50"/>
      <c r="BG959" s="50"/>
      <c r="BH959" s="50"/>
      <c r="BI959" s="50"/>
      <c r="BJ959" s="50"/>
    </row>
    <row r="960">
      <c r="A960" s="50"/>
      <c r="B960" s="61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0"/>
      <c r="BE960" s="50"/>
      <c r="BF960" s="50"/>
      <c r="BG960" s="50"/>
      <c r="BH960" s="50"/>
      <c r="BI960" s="50"/>
      <c r="BJ960" s="50"/>
    </row>
    <row r="961">
      <c r="A961" s="50"/>
      <c r="B961" s="61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50"/>
      <c r="BG961" s="50"/>
      <c r="BH961" s="50"/>
      <c r="BI961" s="50"/>
      <c r="BJ961" s="50"/>
    </row>
    <row r="962">
      <c r="A962" s="50"/>
      <c r="B962" s="61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50"/>
      <c r="BG962" s="50"/>
      <c r="BH962" s="50"/>
      <c r="BI962" s="50"/>
      <c r="BJ962" s="50"/>
    </row>
    <row r="963">
      <c r="A963" s="50"/>
      <c r="B963" s="61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0"/>
      <c r="BE963" s="50"/>
      <c r="BF963" s="50"/>
      <c r="BG963" s="50"/>
      <c r="BH963" s="50"/>
      <c r="BI963" s="50"/>
      <c r="BJ963" s="50"/>
    </row>
    <row r="964">
      <c r="A964" s="50"/>
      <c r="B964" s="61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50"/>
      <c r="BG964" s="50"/>
      <c r="BH964" s="50"/>
      <c r="BI964" s="50"/>
      <c r="BJ964" s="50"/>
    </row>
    <row r="965">
      <c r="A965" s="50"/>
      <c r="B965" s="61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50"/>
      <c r="BG965" s="50"/>
      <c r="BH965" s="50"/>
      <c r="BI965" s="50"/>
      <c r="BJ965" s="50"/>
    </row>
    <row r="966">
      <c r="A966" s="50"/>
      <c r="B966" s="61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50"/>
      <c r="BH966" s="50"/>
      <c r="BI966" s="50"/>
      <c r="BJ966" s="50"/>
    </row>
    <row r="967">
      <c r="A967" s="50"/>
      <c r="B967" s="61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50"/>
      <c r="BG967" s="50"/>
      <c r="BH967" s="50"/>
      <c r="BI967" s="50"/>
      <c r="BJ967" s="50"/>
    </row>
    <row r="968">
      <c r="A968" s="50"/>
      <c r="B968" s="61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0"/>
      <c r="BF968" s="50"/>
      <c r="BG968" s="50"/>
      <c r="BH968" s="50"/>
      <c r="BI968" s="50"/>
      <c r="BJ968" s="50"/>
    </row>
    <row r="969">
      <c r="A969" s="50"/>
      <c r="B969" s="61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50"/>
      <c r="BG969" s="50"/>
      <c r="BH969" s="50"/>
      <c r="BI969" s="50"/>
      <c r="BJ969" s="50"/>
    </row>
    <row r="970">
      <c r="A970" s="50"/>
      <c r="B970" s="61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  <c r="AL970" s="50"/>
      <c r="AM970" s="50"/>
      <c r="AN970" s="50"/>
      <c r="AO970" s="50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/>
      <c r="BE970" s="50"/>
      <c r="BF970" s="50"/>
      <c r="BG970" s="50"/>
      <c r="BH970" s="50"/>
      <c r="BI970" s="50"/>
      <c r="BJ970" s="50"/>
    </row>
    <row r="971">
      <c r="A971" s="50"/>
      <c r="B971" s="61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  <c r="AV971" s="50"/>
      <c r="AW971" s="50"/>
      <c r="AX971" s="50"/>
      <c r="AY971" s="50"/>
      <c r="AZ971" s="50"/>
      <c r="BA971" s="50"/>
      <c r="BB971" s="50"/>
      <c r="BC971" s="50"/>
      <c r="BD971" s="50"/>
      <c r="BE971" s="50"/>
      <c r="BF971" s="50"/>
      <c r="BG971" s="50"/>
      <c r="BH971" s="50"/>
      <c r="BI971" s="50"/>
      <c r="BJ971" s="50"/>
    </row>
    <row r="972">
      <c r="A972" s="50"/>
      <c r="B972" s="61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50"/>
      <c r="AL972" s="50"/>
      <c r="AM972" s="50"/>
      <c r="AN972" s="50"/>
      <c r="AO972" s="50"/>
      <c r="AP972" s="50"/>
      <c r="AQ972" s="50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0"/>
      <c r="BE972" s="50"/>
      <c r="BF972" s="50"/>
      <c r="BG972" s="50"/>
      <c r="BH972" s="50"/>
      <c r="BI972" s="50"/>
      <c r="BJ972" s="50"/>
    </row>
    <row r="973">
      <c r="A973" s="50"/>
      <c r="B973" s="61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0"/>
      <c r="BE973" s="50"/>
      <c r="BF973" s="50"/>
      <c r="BG973" s="50"/>
      <c r="BH973" s="50"/>
      <c r="BI973" s="50"/>
      <c r="BJ973" s="50"/>
    </row>
    <row r="974">
      <c r="A974" s="50"/>
      <c r="B974" s="61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50"/>
      <c r="BG974" s="50"/>
      <c r="BH974" s="50"/>
      <c r="BI974" s="50"/>
      <c r="BJ974" s="50"/>
    </row>
    <row r="975">
      <c r="A975" s="50"/>
      <c r="B975" s="61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0"/>
      <c r="BE975" s="50"/>
      <c r="BF975" s="50"/>
      <c r="BG975" s="50"/>
      <c r="BH975" s="50"/>
      <c r="BI975" s="50"/>
      <c r="BJ975" s="50"/>
    </row>
    <row r="976">
      <c r="A976" s="50"/>
      <c r="B976" s="61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0"/>
      <c r="BE976" s="50"/>
      <c r="BF976" s="50"/>
      <c r="BG976" s="50"/>
      <c r="BH976" s="50"/>
      <c r="BI976" s="50"/>
      <c r="BJ976" s="50"/>
    </row>
    <row r="977">
      <c r="A977" s="50"/>
      <c r="B977" s="61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0"/>
      <c r="BE977" s="50"/>
      <c r="BF977" s="50"/>
      <c r="BG977" s="50"/>
      <c r="BH977" s="50"/>
      <c r="BI977" s="50"/>
      <c r="BJ977" s="50"/>
    </row>
    <row r="978">
      <c r="A978" s="50"/>
      <c r="B978" s="61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/>
      <c r="BE978" s="50"/>
      <c r="BF978" s="50"/>
      <c r="BG978" s="50"/>
      <c r="BH978" s="50"/>
      <c r="BI978" s="50"/>
      <c r="BJ978" s="50"/>
    </row>
    <row r="979">
      <c r="A979" s="50"/>
      <c r="B979" s="61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50"/>
      <c r="BG979" s="50"/>
      <c r="BH979" s="50"/>
      <c r="BI979" s="50"/>
      <c r="BJ979" s="50"/>
    </row>
    <row r="980">
      <c r="A980" s="50"/>
      <c r="B980" s="61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/>
      <c r="BE980" s="50"/>
      <c r="BF980" s="50"/>
      <c r="BG980" s="50"/>
      <c r="BH980" s="50"/>
      <c r="BI980" s="50"/>
      <c r="BJ980" s="50"/>
    </row>
    <row r="981">
      <c r="A981" s="50"/>
      <c r="B981" s="61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50"/>
      <c r="BG981" s="50"/>
      <c r="BH981" s="50"/>
      <c r="BI981" s="50"/>
      <c r="BJ981" s="50"/>
    </row>
    <row r="982">
      <c r="A982" s="50"/>
      <c r="B982" s="61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/>
      <c r="BE982" s="50"/>
      <c r="BF982" s="50"/>
      <c r="BG982" s="50"/>
      <c r="BH982" s="50"/>
      <c r="BI982" s="50"/>
      <c r="BJ982" s="50"/>
    </row>
    <row r="983">
      <c r="A983" s="50"/>
      <c r="B983" s="61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/>
      <c r="BE983" s="50"/>
      <c r="BF983" s="50"/>
      <c r="BG983" s="50"/>
      <c r="BH983" s="50"/>
      <c r="BI983" s="50"/>
      <c r="BJ983" s="50"/>
    </row>
    <row r="984">
      <c r="A984" s="50"/>
      <c r="B984" s="61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0"/>
      <c r="BE984" s="50"/>
      <c r="BF984" s="50"/>
      <c r="BG984" s="50"/>
      <c r="BH984" s="50"/>
      <c r="BI984" s="50"/>
      <c r="BJ984" s="50"/>
    </row>
    <row r="985">
      <c r="A985" s="50"/>
      <c r="B985" s="61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0"/>
      <c r="BE985" s="50"/>
      <c r="BF985" s="50"/>
      <c r="BG985" s="50"/>
      <c r="BH985" s="50"/>
      <c r="BI985" s="50"/>
      <c r="BJ985" s="50"/>
    </row>
    <row r="986">
      <c r="A986" s="50"/>
      <c r="B986" s="61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50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/>
      <c r="BE986" s="50"/>
      <c r="BF986" s="50"/>
      <c r="BG986" s="50"/>
      <c r="BH986" s="50"/>
      <c r="BI986" s="50"/>
      <c r="BJ986" s="50"/>
    </row>
    <row r="987">
      <c r="A987" s="50"/>
      <c r="B987" s="61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50"/>
      <c r="BG987" s="50"/>
      <c r="BH987" s="50"/>
      <c r="BI987" s="50"/>
      <c r="BJ987" s="50"/>
    </row>
    <row r="988">
      <c r="A988" s="50"/>
      <c r="B988" s="61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50"/>
      <c r="BG988" s="50"/>
      <c r="BH988" s="50"/>
      <c r="BI988" s="50"/>
      <c r="BJ988" s="50"/>
    </row>
    <row r="989">
      <c r="A989" s="50"/>
      <c r="B989" s="61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50"/>
      <c r="BG989" s="50"/>
      <c r="BH989" s="50"/>
      <c r="BI989" s="50"/>
      <c r="BJ989" s="50"/>
    </row>
    <row r="990">
      <c r="A990" s="50"/>
      <c r="B990" s="61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50"/>
      <c r="BG990" s="50"/>
      <c r="BH990" s="50"/>
      <c r="BI990" s="50"/>
      <c r="BJ990" s="50"/>
    </row>
    <row r="991">
      <c r="A991" s="50"/>
      <c r="B991" s="61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50"/>
      <c r="BG991" s="50"/>
      <c r="BH991" s="50"/>
      <c r="BI991" s="50"/>
      <c r="BJ991" s="50"/>
    </row>
    <row r="992">
      <c r="A992" s="50"/>
      <c r="B992" s="61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50"/>
      <c r="BG992" s="50"/>
      <c r="BH992" s="50"/>
      <c r="BI992" s="50"/>
      <c r="BJ992" s="50"/>
    </row>
    <row r="993">
      <c r="A993" s="50"/>
      <c r="B993" s="61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50"/>
      <c r="BG993" s="50"/>
      <c r="BH993" s="50"/>
      <c r="BI993" s="50"/>
      <c r="BJ993" s="50"/>
    </row>
    <row r="994">
      <c r="A994" s="50"/>
      <c r="B994" s="61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50"/>
      <c r="BG994" s="50"/>
      <c r="BH994" s="50"/>
      <c r="BI994" s="50"/>
      <c r="BJ994" s="50"/>
    </row>
    <row r="995">
      <c r="A995" s="50"/>
      <c r="B995" s="61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0"/>
      <c r="BE995" s="50"/>
      <c r="BF995" s="50"/>
      <c r="BG995" s="50"/>
      <c r="BH995" s="50"/>
      <c r="BI995" s="50"/>
      <c r="BJ995" s="50"/>
    </row>
    <row r="996">
      <c r="A996" s="50"/>
      <c r="B996" s="61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50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0"/>
      <c r="BE996" s="50"/>
      <c r="BF996" s="50"/>
      <c r="BG996" s="50"/>
      <c r="BH996" s="50"/>
      <c r="BI996" s="50"/>
      <c r="BJ996" s="50"/>
    </row>
    <row r="997">
      <c r="A997" s="50"/>
      <c r="B997" s="61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0"/>
      <c r="BE997" s="50"/>
      <c r="BF997" s="50"/>
      <c r="BG997" s="50"/>
      <c r="BH997" s="50"/>
      <c r="BI997" s="50"/>
      <c r="BJ997" s="50"/>
    </row>
    <row r="998">
      <c r="A998" s="50"/>
      <c r="B998" s="61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0"/>
      <c r="BF998" s="50"/>
      <c r="BG998" s="50"/>
      <c r="BH998" s="50"/>
      <c r="BI998" s="50"/>
      <c r="BJ998" s="50"/>
    </row>
    <row r="999">
      <c r="A999" s="50"/>
      <c r="B999" s="61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50"/>
      <c r="BG999" s="50"/>
      <c r="BH999" s="50"/>
      <c r="BI999" s="50"/>
      <c r="BJ999" s="50"/>
    </row>
    <row r="1000">
      <c r="A1000" s="50"/>
      <c r="B1000" s="61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50"/>
      <c r="BG1000" s="50"/>
      <c r="BH1000" s="50"/>
      <c r="BI1000" s="50"/>
      <c r="BJ1000" s="50"/>
    </row>
    <row r="1001">
      <c r="A1001" s="50"/>
      <c r="B1001" s="61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50"/>
      <c r="AU1001" s="50"/>
      <c r="AV1001" s="50"/>
      <c r="AW1001" s="50"/>
      <c r="AX1001" s="50"/>
      <c r="AY1001" s="50"/>
      <c r="AZ1001" s="50"/>
      <c r="BA1001" s="50"/>
      <c r="BB1001" s="50"/>
      <c r="BC1001" s="50"/>
      <c r="BD1001" s="50"/>
      <c r="BE1001" s="50"/>
      <c r="BF1001" s="50"/>
      <c r="BG1001" s="50"/>
      <c r="BH1001" s="50"/>
      <c r="BI1001" s="50"/>
      <c r="BJ1001" s="50"/>
    </row>
    <row r="1002">
      <c r="A1002" s="50"/>
      <c r="B1002" s="61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  <c r="AD1002" s="50"/>
      <c r="AE1002" s="50"/>
      <c r="AF1002" s="50"/>
      <c r="AG1002" s="50"/>
      <c r="AH1002" s="50"/>
      <c r="AI1002" s="50"/>
      <c r="AJ1002" s="50"/>
      <c r="AK1002" s="50"/>
      <c r="AL1002" s="50"/>
      <c r="AM1002" s="50"/>
      <c r="AN1002" s="50"/>
      <c r="AO1002" s="50"/>
      <c r="AP1002" s="50"/>
      <c r="AQ1002" s="50"/>
      <c r="AR1002" s="50"/>
      <c r="AS1002" s="50"/>
      <c r="AT1002" s="50"/>
      <c r="AU1002" s="50"/>
      <c r="AV1002" s="50"/>
      <c r="AW1002" s="50"/>
      <c r="AX1002" s="50"/>
      <c r="AY1002" s="50"/>
      <c r="AZ1002" s="50"/>
      <c r="BA1002" s="50"/>
      <c r="BB1002" s="50"/>
      <c r="BC1002" s="50"/>
      <c r="BD1002" s="50"/>
      <c r="BE1002" s="50"/>
      <c r="BF1002" s="50"/>
      <c r="BG1002" s="50"/>
      <c r="BH1002" s="50"/>
      <c r="BI1002" s="50"/>
      <c r="BJ1002" s="50"/>
    </row>
    <row r="1003">
      <c r="A1003" s="50"/>
      <c r="B1003" s="61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/>
      <c r="AN1003" s="50"/>
      <c r="AO1003" s="50"/>
      <c r="AP1003" s="50"/>
      <c r="AQ1003" s="50"/>
      <c r="AR1003" s="50"/>
      <c r="AS1003" s="50"/>
      <c r="AT1003" s="50"/>
      <c r="AU1003" s="50"/>
      <c r="AV1003" s="50"/>
      <c r="AW1003" s="50"/>
      <c r="AX1003" s="50"/>
      <c r="AY1003" s="50"/>
      <c r="AZ1003" s="50"/>
      <c r="BA1003" s="50"/>
      <c r="BB1003" s="50"/>
      <c r="BC1003" s="50"/>
      <c r="BD1003" s="50"/>
      <c r="BE1003" s="50"/>
      <c r="BF1003" s="50"/>
      <c r="BG1003" s="50"/>
      <c r="BH1003" s="50"/>
      <c r="BI1003" s="50"/>
      <c r="BJ1003" s="50"/>
    </row>
    <row r="1004">
      <c r="A1004" s="50"/>
      <c r="B1004" s="61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50"/>
      <c r="AD1004" s="50"/>
      <c r="AE1004" s="50"/>
      <c r="AF1004" s="50"/>
      <c r="AG1004" s="50"/>
      <c r="AH1004" s="50"/>
      <c r="AI1004" s="50"/>
      <c r="AJ1004" s="50"/>
      <c r="AK1004" s="50"/>
      <c r="AL1004" s="50"/>
      <c r="AM1004" s="50"/>
      <c r="AN1004" s="50"/>
      <c r="AO1004" s="50"/>
      <c r="AP1004" s="50"/>
      <c r="AQ1004" s="50"/>
      <c r="AR1004" s="50"/>
      <c r="AS1004" s="50"/>
      <c r="AT1004" s="50"/>
      <c r="AU1004" s="50"/>
      <c r="AV1004" s="50"/>
      <c r="AW1004" s="50"/>
      <c r="AX1004" s="50"/>
      <c r="AY1004" s="50"/>
      <c r="AZ1004" s="50"/>
      <c r="BA1004" s="50"/>
      <c r="BB1004" s="50"/>
      <c r="BC1004" s="50"/>
      <c r="BD1004" s="50"/>
      <c r="BE1004" s="50"/>
      <c r="BF1004" s="50"/>
      <c r="BG1004" s="50"/>
      <c r="BH1004" s="50"/>
      <c r="BI1004" s="50"/>
      <c r="BJ1004" s="50"/>
    </row>
    <row r="1005">
      <c r="A1005" s="50"/>
      <c r="B1005" s="61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/>
      <c r="AI1005" s="50"/>
      <c r="AJ1005" s="50"/>
      <c r="AK1005" s="50"/>
      <c r="AL1005" s="50"/>
      <c r="AM1005" s="50"/>
      <c r="AN1005" s="50"/>
      <c r="AO1005" s="50"/>
      <c r="AP1005" s="50"/>
      <c r="AQ1005" s="50"/>
      <c r="AR1005" s="50"/>
      <c r="AS1005" s="50"/>
      <c r="AT1005" s="50"/>
      <c r="AU1005" s="50"/>
      <c r="AV1005" s="50"/>
      <c r="AW1005" s="50"/>
      <c r="AX1005" s="50"/>
      <c r="AY1005" s="50"/>
      <c r="AZ1005" s="50"/>
      <c r="BA1005" s="50"/>
      <c r="BB1005" s="50"/>
      <c r="BC1005" s="50"/>
      <c r="BD1005" s="50"/>
      <c r="BE1005" s="50"/>
      <c r="BF1005" s="50"/>
      <c r="BG1005" s="50"/>
      <c r="BH1005" s="50"/>
      <c r="BI1005" s="50"/>
      <c r="BJ1005" s="50"/>
    </row>
    <row r="1006">
      <c r="A1006" s="50"/>
      <c r="B1006" s="61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  <c r="AD1006" s="50"/>
      <c r="AE1006" s="50"/>
      <c r="AF1006" s="50"/>
      <c r="AG1006" s="50"/>
      <c r="AH1006" s="50"/>
      <c r="AI1006" s="50"/>
      <c r="AJ1006" s="50"/>
      <c r="AK1006" s="50"/>
      <c r="AL1006" s="50"/>
      <c r="AM1006" s="50"/>
      <c r="AN1006" s="50"/>
      <c r="AO1006" s="50"/>
      <c r="AP1006" s="50"/>
      <c r="AQ1006" s="50"/>
      <c r="AR1006" s="50"/>
      <c r="AS1006" s="50"/>
      <c r="AT1006" s="50"/>
      <c r="AU1006" s="50"/>
      <c r="AV1006" s="50"/>
      <c r="AW1006" s="50"/>
      <c r="AX1006" s="50"/>
      <c r="AY1006" s="50"/>
      <c r="AZ1006" s="50"/>
      <c r="BA1006" s="50"/>
      <c r="BB1006" s="50"/>
      <c r="BC1006" s="50"/>
      <c r="BD1006" s="50"/>
      <c r="BE1006" s="50"/>
      <c r="BF1006" s="50"/>
      <c r="BG1006" s="50"/>
      <c r="BH1006" s="50"/>
      <c r="BI1006" s="50"/>
      <c r="BJ1006" s="50"/>
    </row>
    <row r="1007">
      <c r="A1007" s="50"/>
      <c r="B1007" s="61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/>
      <c r="AI1007" s="50"/>
      <c r="AJ1007" s="50"/>
      <c r="AK1007" s="50"/>
      <c r="AL1007" s="50"/>
      <c r="AM1007" s="50"/>
      <c r="AN1007" s="50"/>
      <c r="AO1007" s="50"/>
      <c r="AP1007" s="50"/>
      <c r="AQ1007" s="50"/>
      <c r="AR1007" s="50"/>
      <c r="AS1007" s="50"/>
      <c r="AT1007" s="50"/>
      <c r="AU1007" s="50"/>
      <c r="AV1007" s="50"/>
      <c r="AW1007" s="50"/>
      <c r="AX1007" s="50"/>
      <c r="AY1007" s="50"/>
      <c r="AZ1007" s="50"/>
      <c r="BA1007" s="50"/>
      <c r="BB1007" s="50"/>
      <c r="BC1007" s="50"/>
      <c r="BD1007" s="50"/>
      <c r="BE1007" s="50"/>
      <c r="BF1007" s="50"/>
      <c r="BG1007" s="50"/>
      <c r="BH1007" s="50"/>
      <c r="BI1007" s="50"/>
      <c r="BJ1007" s="50"/>
    </row>
    <row r="1008">
      <c r="A1008" s="50"/>
      <c r="B1008" s="61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  <c r="AC1008" s="50"/>
      <c r="AD1008" s="50"/>
      <c r="AE1008" s="50"/>
      <c r="AF1008" s="50"/>
      <c r="AG1008" s="50"/>
      <c r="AH1008" s="50"/>
      <c r="AI1008" s="50"/>
      <c r="AJ1008" s="50"/>
      <c r="AK1008" s="50"/>
      <c r="AL1008" s="50"/>
      <c r="AM1008" s="50"/>
      <c r="AN1008" s="50"/>
      <c r="AO1008" s="50"/>
      <c r="AP1008" s="50"/>
      <c r="AQ1008" s="50"/>
      <c r="AR1008" s="50"/>
      <c r="AS1008" s="50"/>
      <c r="AT1008" s="50"/>
      <c r="AU1008" s="50"/>
      <c r="AV1008" s="50"/>
      <c r="AW1008" s="50"/>
      <c r="AX1008" s="50"/>
      <c r="AY1008" s="50"/>
      <c r="AZ1008" s="50"/>
      <c r="BA1008" s="50"/>
      <c r="BB1008" s="50"/>
      <c r="BC1008" s="50"/>
      <c r="BD1008" s="50"/>
      <c r="BE1008" s="50"/>
      <c r="BF1008" s="50"/>
      <c r="BG1008" s="50"/>
      <c r="BH1008" s="50"/>
      <c r="BI1008" s="50"/>
      <c r="BJ1008" s="50"/>
    </row>
    <row r="1009">
      <c r="A1009" s="50"/>
      <c r="B1009" s="61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/>
      <c r="AI1009" s="50"/>
      <c r="AJ1009" s="50"/>
      <c r="AK1009" s="50"/>
      <c r="AL1009" s="50"/>
      <c r="AM1009" s="50"/>
      <c r="AN1009" s="50"/>
      <c r="AO1009" s="50"/>
      <c r="AP1009" s="50"/>
      <c r="AQ1009" s="50"/>
      <c r="AR1009" s="50"/>
      <c r="AS1009" s="50"/>
      <c r="AT1009" s="50"/>
      <c r="AU1009" s="50"/>
      <c r="AV1009" s="50"/>
      <c r="AW1009" s="50"/>
      <c r="AX1009" s="50"/>
      <c r="AY1009" s="50"/>
      <c r="AZ1009" s="50"/>
      <c r="BA1009" s="50"/>
      <c r="BB1009" s="50"/>
      <c r="BC1009" s="50"/>
      <c r="BD1009" s="50"/>
      <c r="BE1009" s="50"/>
      <c r="BF1009" s="50"/>
      <c r="BG1009" s="50"/>
      <c r="BH1009" s="50"/>
      <c r="BI1009" s="50"/>
      <c r="BJ1009" s="50"/>
    </row>
    <row r="1010">
      <c r="A1010" s="50"/>
      <c r="B1010" s="61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  <c r="AC1010" s="50"/>
      <c r="AD1010" s="50"/>
      <c r="AE1010" s="50"/>
      <c r="AF1010" s="50"/>
      <c r="AG1010" s="50"/>
      <c r="AH1010" s="50"/>
      <c r="AI1010" s="50"/>
      <c r="AJ1010" s="50"/>
      <c r="AK1010" s="50"/>
      <c r="AL1010" s="50"/>
      <c r="AM1010" s="50"/>
      <c r="AN1010" s="50"/>
      <c r="AO1010" s="50"/>
      <c r="AP1010" s="50"/>
      <c r="AQ1010" s="50"/>
      <c r="AR1010" s="50"/>
      <c r="AS1010" s="50"/>
      <c r="AT1010" s="50"/>
      <c r="AU1010" s="50"/>
      <c r="AV1010" s="50"/>
      <c r="AW1010" s="50"/>
      <c r="AX1010" s="50"/>
      <c r="AY1010" s="50"/>
      <c r="AZ1010" s="50"/>
      <c r="BA1010" s="50"/>
      <c r="BB1010" s="50"/>
      <c r="BC1010" s="50"/>
      <c r="BD1010" s="50"/>
      <c r="BE1010" s="50"/>
      <c r="BF1010" s="50"/>
      <c r="BG1010" s="50"/>
      <c r="BH1010" s="50"/>
      <c r="BI1010" s="50"/>
      <c r="BJ1010" s="50"/>
    </row>
    <row r="1011">
      <c r="A1011" s="50"/>
      <c r="B1011" s="61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/>
      <c r="AI1011" s="50"/>
      <c r="AJ1011" s="50"/>
      <c r="AK1011" s="50"/>
      <c r="AL1011" s="50"/>
      <c r="AM1011" s="50"/>
      <c r="AN1011" s="50"/>
      <c r="AO1011" s="50"/>
      <c r="AP1011" s="50"/>
      <c r="AQ1011" s="50"/>
      <c r="AR1011" s="50"/>
      <c r="AS1011" s="50"/>
      <c r="AT1011" s="50"/>
      <c r="AU1011" s="50"/>
      <c r="AV1011" s="50"/>
      <c r="AW1011" s="50"/>
      <c r="AX1011" s="50"/>
      <c r="AY1011" s="50"/>
      <c r="AZ1011" s="50"/>
      <c r="BA1011" s="50"/>
      <c r="BB1011" s="50"/>
      <c r="BC1011" s="50"/>
      <c r="BD1011" s="50"/>
      <c r="BE1011" s="50"/>
      <c r="BF1011" s="50"/>
      <c r="BG1011" s="50"/>
      <c r="BH1011" s="50"/>
      <c r="BI1011" s="50"/>
      <c r="BJ1011" s="50"/>
    </row>
    <row r="1012">
      <c r="A1012" s="50"/>
      <c r="B1012" s="61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  <c r="AC1012" s="50"/>
      <c r="AD1012" s="50"/>
      <c r="AE1012" s="50"/>
      <c r="AF1012" s="50"/>
      <c r="AG1012" s="50"/>
      <c r="AH1012" s="50"/>
      <c r="AI1012" s="50"/>
      <c r="AJ1012" s="50"/>
      <c r="AK1012" s="50"/>
      <c r="AL1012" s="50"/>
      <c r="AM1012" s="50"/>
      <c r="AN1012" s="50"/>
      <c r="AO1012" s="50"/>
      <c r="AP1012" s="50"/>
      <c r="AQ1012" s="50"/>
      <c r="AR1012" s="50"/>
      <c r="AS1012" s="50"/>
      <c r="AT1012" s="50"/>
      <c r="AU1012" s="50"/>
      <c r="AV1012" s="50"/>
      <c r="AW1012" s="50"/>
      <c r="AX1012" s="50"/>
      <c r="AY1012" s="50"/>
      <c r="AZ1012" s="50"/>
      <c r="BA1012" s="50"/>
      <c r="BB1012" s="50"/>
      <c r="BC1012" s="50"/>
      <c r="BD1012" s="50"/>
      <c r="BE1012" s="50"/>
      <c r="BF1012" s="50"/>
      <c r="BG1012" s="50"/>
      <c r="BH1012" s="50"/>
      <c r="BI1012" s="50"/>
      <c r="BJ1012" s="50"/>
    </row>
    <row r="1013">
      <c r="A1013" s="50"/>
      <c r="B1013" s="61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/>
      <c r="AI1013" s="50"/>
      <c r="AJ1013" s="50"/>
      <c r="AK1013" s="50"/>
      <c r="AL1013" s="50"/>
      <c r="AM1013" s="50"/>
      <c r="AN1013" s="50"/>
      <c r="AO1013" s="50"/>
      <c r="AP1013" s="50"/>
      <c r="AQ1013" s="50"/>
      <c r="AR1013" s="50"/>
      <c r="AS1013" s="50"/>
      <c r="AT1013" s="50"/>
      <c r="AU1013" s="50"/>
      <c r="AV1013" s="50"/>
      <c r="AW1013" s="50"/>
      <c r="AX1013" s="50"/>
      <c r="AY1013" s="50"/>
      <c r="AZ1013" s="50"/>
      <c r="BA1013" s="50"/>
      <c r="BB1013" s="50"/>
      <c r="BC1013" s="50"/>
      <c r="BD1013" s="50"/>
      <c r="BE1013" s="50"/>
      <c r="BF1013" s="50"/>
      <c r="BG1013" s="50"/>
      <c r="BH1013" s="50"/>
      <c r="BI1013" s="50"/>
      <c r="BJ1013" s="50"/>
    </row>
    <row r="1014">
      <c r="A1014" s="50"/>
      <c r="B1014" s="61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  <c r="AC1014" s="50"/>
      <c r="AD1014" s="50"/>
      <c r="AE1014" s="50"/>
      <c r="AF1014" s="50"/>
      <c r="AG1014" s="50"/>
      <c r="AH1014" s="50"/>
      <c r="AI1014" s="50"/>
      <c r="AJ1014" s="50"/>
      <c r="AK1014" s="50"/>
      <c r="AL1014" s="50"/>
      <c r="AM1014" s="50"/>
      <c r="AN1014" s="50"/>
      <c r="AO1014" s="50"/>
      <c r="AP1014" s="50"/>
      <c r="AQ1014" s="50"/>
      <c r="AR1014" s="50"/>
      <c r="AS1014" s="50"/>
      <c r="AT1014" s="50"/>
      <c r="AU1014" s="50"/>
      <c r="AV1014" s="50"/>
      <c r="AW1014" s="50"/>
      <c r="AX1014" s="50"/>
      <c r="AY1014" s="50"/>
      <c r="AZ1014" s="50"/>
      <c r="BA1014" s="50"/>
      <c r="BB1014" s="50"/>
      <c r="BC1014" s="50"/>
      <c r="BD1014" s="50"/>
      <c r="BE1014" s="50"/>
      <c r="BF1014" s="50"/>
      <c r="BG1014" s="50"/>
      <c r="BH1014" s="50"/>
      <c r="BI1014" s="50"/>
      <c r="BJ1014" s="50"/>
    </row>
    <row r="1015">
      <c r="A1015" s="50"/>
      <c r="B1015" s="61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/>
      <c r="AI1015" s="50"/>
      <c r="AJ1015" s="50"/>
      <c r="AK1015" s="50"/>
      <c r="AL1015" s="50"/>
      <c r="AM1015" s="50"/>
      <c r="AN1015" s="50"/>
      <c r="AO1015" s="50"/>
      <c r="AP1015" s="50"/>
      <c r="AQ1015" s="50"/>
      <c r="AR1015" s="50"/>
      <c r="AS1015" s="50"/>
      <c r="AT1015" s="50"/>
      <c r="AU1015" s="50"/>
      <c r="AV1015" s="50"/>
      <c r="AW1015" s="50"/>
      <c r="AX1015" s="50"/>
      <c r="AY1015" s="50"/>
      <c r="AZ1015" s="50"/>
      <c r="BA1015" s="50"/>
      <c r="BB1015" s="50"/>
      <c r="BC1015" s="50"/>
      <c r="BD1015" s="50"/>
      <c r="BE1015" s="50"/>
      <c r="BF1015" s="50"/>
      <c r="BG1015" s="50"/>
      <c r="BH1015" s="50"/>
      <c r="BI1015" s="50"/>
      <c r="BJ1015" s="50"/>
    </row>
    <row r="1016">
      <c r="A1016" s="50"/>
      <c r="B1016" s="61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  <c r="AC1016" s="50"/>
      <c r="AD1016" s="50"/>
      <c r="AE1016" s="50"/>
      <c r="AF1016" s="50"/>
      <c r="AG1016" s="50"/>
      <c r="AH1016" s="50"/>
      <c r="AI1016" s="50"/>
      <c r="AJ1016" s="50"/>
      <c r="AK1016" s="50"/>
      <c r="AL1016" s="50"/>
      <c r="AM1016" s="50"/>
      <c r="AN1016" s="50"/>
      <c r="AO1016" s="50"/>
      <c r="AP1016" s="50"/>
      <c r="AQ1016" s="50"/>
      <c r="AR1016" s="50"/>
      <c r="AS1016" s="50"/>
      <c r="AT1016" s="50"/>
      <c r="AU1016" s="50"/>
      <c r="AV1016" s="50"/>
      <c r="AW1016" s="50"/>
      <c r="AX1016" s="50"/>
      <c r="AY1016" s="50"/>
      <c r="AZ1016" s="50"/>
      <c r="BA1016" s="50"/>
      <c r="BB1016" s="50"/>
      <c r="BC1016" s="50"/>
      <c r="BD1016" s="50"/>
      <c r="BE1016" s="50"/>
      <c r="BF1016" s="50"/>
      <c r="BG1016" s="50"/>
      <c r="BH1016" s="50"/>
      <c r="BI1016" s="50"/>
      <c r="BJ1016" s="50"/>
    </row>
    <row r="1017">
      <c r="A1017" s="50"/>
      <c r="B1017" s="61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/>
      <c r="AI1017" s="50"/>
      <c r="AJ1017" s="50"/>
      <c r="AK1017" s="50"/>
      <c r="AL1017" s="50"/>
      <c r="AM1017" s="50"/>
      <c r="AN1017" s="50"/>
      <c r="AO1017" s="50"/>
      <c r="AP1017" s="50"/>
      <c r="AQ1017" s="50"/>
      <c r="AR1017" s="50"/>
      <c r="AS1017" s="50"/>
      <c r="AT1017" s="50"/>
      <c r="AU1017" s="50"/>
      <c r="AV1017" s="50"/>
      <c r="AW1017" s="50"/>
      <c r="AX1017" s="50"/>
      <c r="AY1017" s="50"/>
      <c r="AZ1017" s="50"/>
      <c r="BA1017" s="50"/>
      <c r="BB1017" s="50"/>
      <c r="BC1017" s="50"/>
      <c r="BD1017" s="50"/>
      <c r="BE1017" s="50"/>
      <c r="BF1017" s="50"/>
      <c r="BG1017" s="50"/>
      <c r="BH1017" s="50"/>
      <c r="BI1017" s="50"/>
      <c r="BJ1017" s="50"/>
    </row>
    <row r="1018">
      <c r="A1018" s="50"/>
      <c r="B1018" s="61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  <c r="AC1018" s="50"/>
      <c r="AD1018" s="50"/>
      <c r="AE1018" s="50"/>
      <c r="AF1018" s="50"/>
      <c r="AG1018" s="50"/>
      <c r="AH1018" s="50"/>
      <c r="AI1018" s="50"/>
      <c r="AJ1018" s="50"/>
      <c r="AK1018" s="50"/>
      <c r="AL1018" s="50"/>
      <c r="AM1018" s="50"/>
      <c r="AN1018" s="50"/>
      <c r="AO1018" s="50"/>
      <c r="AP1018" s="50"/>
      <c r="AQ1018" s="50"/>
      <c r="AR1018" s="50"/>
      <c r="AS1018" s="50"/>
      <c r="AT1018" s="50"/>
      <c r="AU1018" s="50"/>
      <c r="AV1018" s="50"/>
      <c r="AW1018" s="50"/>
      <c r="AX1018" s="50"/>
      <c r="AY1018" s="50"/>
      <c r="AZ1018" s="50"/>
      <c r="BA1018" s="50"/>
      <c r="BB1018" s="50"/>
      <c r="BC1018" s="50"/>
      <c r="BD1018" s="50"/>
      <c r="BE1018" s="50"/>
      <c r="BF1018" s="50"/>
      <c r="BG1018" s="50"/>
      <c r="BH1018" s="50"/>
      <c r="BI1018" s="50"/>
      <c r="BJ1018" s="50"/>
    </row>
    <row r="1019">
      <c r="A1019" s="50"/>
      <c r="B1019" s="61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/>
      <c r="AI1019" s="50"/>
      <c r="AJ1019" s="50"/>
      <c r="AK1019" s="50"/>
      <c r="AL1019" s="50"/>
      <c r="AM1019" s="50"/>
      <c r="AN1019" s="50"/>
      <c r="AO1019" s="50"/>
      <c r="AP1019" s="50"/>
      <c r="AQ1019" s="50"/>
      <c r="AR1019" s="50"/>
      <c r="AS1019" s="50"/>
      <c r="AT1019" s="50"/>
      <c r="AU1019" s="50"/>
      <c r="AV1019" s="50"/>
      <c r="AW1019" s="50"/>
      <c r="AX1019" s="50"/>
      <c r="AY1019" s="50"/>
      <c r="AZ1019" s="50"/>
      <c r="BA1019" s="50"/>
      <c r="BB1019" s="50"/>
      <c r="BC1019" s="50"/>
      <c r="BD1019" s="50"/>
      <c r="BE1019" s="50"/>
      <c r="BF1019" s="50"/>
      <c r="BG1019" s="50"/>
      <c r="BH1019" s="50"/>
      <c r="BI1019" s="50"/>
      <c r="BJ1019" s="50"/>
    </row>
    <row r="1020">
      <c r="A1020" s="50"/>
      <c r="B1020" s="61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  <c r="AA1020" s="50"/>
      <c r="AB1020" s="50"/>
      <c r="AC1020" s="50"/>
      <c r="AD1020" s="50"/>
      <c r="AE1020" s="50"/>
      <c r="AF1020" s="50"/>
      <c r="AG1020" s="50"/>
      <c r="AH1020" s="50"/>
      <c r="AI1020" s="50"/>
      <c r="AJ1020" s="50"/>
      <c r="AK1020" s="50"/>
      <c r="AL1020" s="50"/>
      <c r="AM1020" s="50"/>
      <c r="AN1020" s="50"/>
      <c r="AO1020" s="50"/>
      <c r="AP1020" s="50"/>
      <c r="AQ1020" s="50"/>
      <c r="AR1020" s="50"/>
      <c r="AS1020" s="50"/>
      <c r="AT1020" s="50"/>
      <c r="AU1020" s="50"/>
      <c r="AV1020" s="50"/>
      <c r="AW1020" s="50"/>
      <c r="AX1020" s="50"/>
      <c r="AY1020" s="50"/>
      <c r="AZ1020" s="50"/>
      <c r="BA1020" s="50"/>
      <c r="BB1020" s="50"/>
      <c r="BC1020" s="50"/>
      <c r="BD1020" s="50"/>
      <c r="BE1020" s="50"/>
      <c r="BF1020" s="50"/>
      <c r="BG1020" s="50"/>
      <c r="BH1020" s="50"/>
      <c r="BI1020" s="50"/>
      <c r="BJ1020" s="50"/>
    </row>
    <row r="1021">
      <c r="A1021" s="50"/>
      <c r="B1021" s="61"/>
      <c r="C1021" s="50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/>
      <c r="AI1021" s="50"/>
      <c r="AJ1021" s="50"/>
      <c r="AK1021" s="50"/>
      <c r="AL1021" s="50"/>
      <c r="AM1021" s="50"/>
      <c r="AN1021" s="50"/>
      <c r="AO1021" s="50"/>
      <c r="AP1021" s="50"/>
      <c r="AQ1021" s="50"/>
      <c r="AR1021" s="50"/>
      <c r="AS1021" s="50"/>
      <c r="AT1021" s="50"/>
      <c r="AU1021" s="50"/>
      <c r="AV1021" s="50"/>
      <c r="AW1021" s="50"/>
      <c r="AX1021" s="50"/>
      <c r="AY1021" s="50"/>
      <c r="AZ1021" s="50"/>
      <c r="BA1021" s="50"/>
      <c r="BB1021" s="50"/>
      <c r="BC1021" s="50"/>
      <c r="BD1021" s="50"/>
      <c r="BE1021" s="50"/>
      <c r="BF1021" s="50"/>
      <c r="BG1021" s="50"/>
      <c r="BH1021" s="50"/>
      <c r="BI1021" s="50"/>
      <c r="BJ1021" s="50"/>
    </row>
    <row r="1022">
      <c r="A1022" s="50"/>
      <c r="B1022" s="61"/>
      <c r="C1022" s="50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  <c r="AC1022" s="50"/>
      <c r="AD1022" s="50"/>
      <c r="AE1022" s="50"/>
      <c r="AF1022" s="50"/>
      <c r="AG1022" s="50"/>
      <c r="AH1022" s="50"/>
      <c r="AI1022" s="50"/>
      <c r="AJ1022" s="50"/>
      <c r="AK1022" s="50"/>
      <c r="AL1022" s="50"/>
      <c r="AM1022" s="50"/>
      <c r="AN1022" s="50"/>
      <c r="AO1022" s="50"/>
      <c r="AP1022" s="50"/>
      <c r="AQ1022" s="50"/>
      <c r="AR1022" s="50"/>
      <c r="AS1022" s="50"/>
      <c r="AT1022" s="50"/>
      <c r="AU1022" s="50"/>
      <c r="AV1022" s="50"/>
      <c r="AW1022" s="50"/>
      <c r="AX1022" s="50"/>
      <c r="AY1022" s="50"/>
      <c r="AZ1022" s="50"/>
      <c r="BA1022" s="50"/>
      <c r="BB1022" s="50"/>
      <c r="BC1022" s="50"/>
      <c r="BD1022" s="50"/>
      <c r="BE1022" s="50"/>
      <c r="BF1022" s="50"/>
      <c r="BG1022" s="50"/>
      <c r="BH1022" s="50"/>
      <c r="BI1022" s="50"/>
      <c r="BJ1022" s="50"/>
    </row>
    <row r="1023">
      <c r="A1023" s="50"/>
      <c r="B1023" s="61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/>
      <c r="AI1023" s="50"/>
      <c r="AJ1023" s="50"/>
      <c r="AK1023" s="50"/>
      <c r="AL1023" s="50"/>
      <c r="AM1023" s="50"/>
      <c r="AN1023" s="50"/>
      <c r="AO1023" s="50"/>
      <c r="AP1023" s="50"/>
      <c r="AQ1023" s="50"/>
      <c r="AR1023" s="50"/>
      <c r="AS1023" s="50"/>
      <c r="AT1023" s="50"/>
      <c r="AU1023" s="50"/>
      <c r="AV1023" s="50"/>
      <c r="AW1023" s="50"/>
      <c r="AX1023" s="50"/>
      <c r="AY1023" s="50"/>
      <c r="AZ1023" s="50"/>
      <c r="BA1023" s="50"/>
      <c r="BB1023" s="50"/>
      <c r="BC1023" s="50"/>
      <c r="BD1023" s="50"/>
      <c r="BE1023" s="50"/>
      <c r="BF1023" s="50"/>
      <c r="BG1023" s="50"/>
      <c r="BH1023" s="50"/>
      <c r="BI1023" s="50"/>
      <c r="BJ1023" s="50"/>
    </row>
    <row r="1024">
      <c r="A1024" s="50"/>
      <c r="B1024" s="61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50"/>
      <c r="AD1024" s="50"/>
      <c r="AE1024" s="50"/>
      <c r="AF1024" s="50"/>
      <c r="AG1024" s="50"/>
      <c r="AH1024" s="50"/>
      <c r="AI1024" s="50"/>
      <c r="AJ1024" s="50"/>
      <c r="AK1024" s="50"/>
      <c r="AL1024" s="50"/>
      <c r="AM1024" s="50"/>
      <c r="AN1024" s="50"/>
      <c r="AO1024" s="50"/>
      <c r="AP1024" s="50"/>
      <c r="AQ1024" s="50"/>
      <c r="AR1024" s="50"/>
      <c r="AS1024" s="50"/>
      <c r="AT1024" s="50"/>
      <c r="AU1024" s="50"/>
      <c r="AV1024" s="50"/>
      <c r="AW1024" s="50"/>
      <c r="AX1024" s="50"/>
      <c r="AY1024" s="50"/>
      <c r="AZ1024" s="50"/>
      <c r="BA1024" s="50"/>
      <c r="BB1024" s="50"/>
      <c r="BC1024" s="50"/>
      <c r="BD1024" s="50"/>
      <c r="BE1024" s="50"/>
      <c r="BF1024" s="50"/>
      <c r="BG1024" s="50"/>
      <c r="BH1024" s="50"/>
      <c r="BI1024" s="50"/>
      <c r="BJ1024" s="50"/>
    </row>
  </sheetData>
  <autoFilter ref="$A$3:$BJ$70"/>
  <customSheetViews>
    <customSheetView guid="{42C63BCA-D603-43A8-ABE1-365B92168223}" filter="1" showAutoFilter="1">
      <autoFilter ref="$A$80:$AO$81"/>
    </customSheetView>
    <customSheetView guid="{CEB9FAB5-1A43-44C9-8F72-92C47C845DEE}" filter="1" showAutoFilter="1">
      <autoFilter ref="$A$3:$AX$35"/>
    </customSheetView>
    <customSheetView guid="{74704250-96A8-4D53-90EB-89879F34FDD7}" filter="1" showAutoFilter="1">
      <autoFilter ref="$A$3:$AO$78"/>
    </customSheetView>
  </customSheetViews>
  <conditionalFormatting sqref="AR4:AS64 AT5:AT64 AR80:AS81">
    <cfRule type="cellIs" dxfId="0" priority="1" operator="greaterThan">
      <formula>"7.50%"</formula>
    </cfRule>
  </conditionalFormatting>
  <conditionalFormatting sqref="AR4:AS64 AT5:AT64 AR80:AS81">
    <cfRule type="cellIs" dxfId="3" priority="2" operator="greaterThanOrEqual">
      <formula>"2.50%"</formula>
    </cfRule>
  </conditionalFormatting>
  <conditionalFormatting sqref="AR4:AS64 AT5:AT64 AR80:AS81">
    <cfRule type="cellIs" dxfId="4" priority="3" operator="greaterThanOrEqual">
      <formula>"0%"</formula>
    </cfRule>
  </conditionalFormatting>
  <hyperlinks>
    <hyperlink r:id="rId1" ref="A9"/>
    <hyperlink r:id="rId2" ref="A10"/>
    <hyperlink r:id="rId3" ref="A15"/>
  </hyperlinks>
  <printOptions/>
  <pageMargins bottom="0.75" footer="0.0" header="0.0" left="0.7" right="0.7" top="0.75"/>
  <pageSetup paperSize="9" orientation="portrait"/>
  <drawing r:id="rId4"/>
</worksheet>
</file>